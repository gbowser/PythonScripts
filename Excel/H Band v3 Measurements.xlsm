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Public Documents\Astronomy\UCLAN\AA2053 Ultraviolet, Optical and Infrared Astronomy\Experimental Report\"/>
    </mc:Choice>
  </mc:AlternateContent>
  <xr:revisionPtr revIDLastSave="0" documentId="13_ncr:1_{04518AA8-232F-44C8-BEEA-6E5EA6439E55}" xr6:coauthVersionLast="46" xr6:coauthVersionMax="46" xr10:uidLastSave="{00000000-0000-0000-0000-000000000000}"/>
  <bookViews>
    <workbookView xWindow="2910" yWindow="2175" windowWidth="22425" windowHeight="19995" xr2:uid="{00000000-000D-0000-FFFF-FFFF00000000}"/>
  </bookViews>
  <sheets>
    <sheet name="PythonGraph" sheetId="4" r:id="rId1"/>
    <sheet name="H Measurements" sheetId="1" r:id="rId2"/>
    <sheet name="SN" sheetId="2" r:id="rId3"/>
  </sheets>
  <functionGroups builtInGroupCount="19"/>
  <definedNames>
    <definedName name="Fd">SN!$B$7</definedName>
    <definedName name="Fr">SN!$B$8</definedName>
    <definedName name="Fs">SN!$B$6</definedName>
    <definedName name="Fstar">SN!$B$5</definedName>
    <definedName name="Gain">SN!$B$2</definedName>
    <definedName name="nb">SN!$B$4</definedName>
    <definedName name="npix">SN!$B$3</definedName>
    <definedName name="Sigmaf">SN!$B$9</definedName>
    <definedName name="Signal">SN!$B$1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5" i="1" l="1"/>
  <c r="AB15" i="1" s="1"/>
  <c r="Y16" i="1"/>
  <c r="AB16" i="1" s="1"/>
  <c r="Y17" i="1"/>
  <c r="AB17" i="1" s="1"/>
  <c r="Y18" i="1"/>
  <c r="AB18" i="1" s="1"/>
  <c r="Y14" i="1"/>
  <c r="AB22" i="1" s="1"/>
  <c r="AB10" i="1"/>
  <c r="AB11" i="1"/>
  <c r="AB21" i="1"/>
  <c r="AB7" i="1"/>
  <c r="AB8" i="1"/>
  <c r="AB9" i="1"/>
  <c r="O18" i="2"/>
  <c r="M17" i="2"/>
  <c r="O14" i="2"/>
  <c r="I9" i="2"/>
  <c r="B5" i="2"/>
  <c r="D26" i="2"/>
  <c r="B4" i="2"/>
  <c r="B1" i="2"/>
  <c r="B3" i="2"/>
  <c r="Q32" i="1"/>
  <c r="N32" i="1"/>
  <c r="O32" i="1"/>
  <c r="P32" i="1"/>
  <c r="R32" i="1"/>
  <c r="S32" i="1"/>
  <c r="T32" i="1"/>
  <c r="U32" i="1"/>
  <c r="V32" i="1"/>
  <c r="W32" i="1"/>
  <c r="N33" i="1"/>
  <c r="O33" i="1"/>
  <c r="P33" i="1"/>
  <c r="Q33" i="1"/>
  <c r="R33" i="1"/>
  <c r="S33" i="1"/>
  <c r="T33" i="1"/>
  <c r="U33" i="1"/>
  <c r="V33" i="1"/>
  <c r="W33" i="1"/>
  <c r="N34" i="1"/>
  <c r="O34" i="1"/>
  <c r="P34" i="1"/>
  <c r="R34" i="1"/>
  <c r="S34" i="1"/>
  <c r="T34" i="1"/>
  <c r="U34" i="1"/>
  <c r="V34" i="1"/>
  <c r="W34" i="1"/>
  <c r="N35" i="1"/>
  <c r="O35" i="1"/>
  <c r="P35" i="1"/>
  <c r="R35" i="1"/>
  <c r="S35" i="1"/>
  <c r="T35" i="1"/>
  <c r="U35" i="1"/>
  <c r="V35" i="1"/>
  <c r="W35" i="1"/>
  <c r="N36" i="1"/>
  <c r="O36" i="1"/>
  <c r="P36" i="1"/>
  <c r="Q36" i="1"/>
  <c r="R36" i="1"/>
  <c r="S36" i="1"/>
  <c r="T36" i="1"/>
  <c r="U36" i="1"/>
  <c r="V36" i="1"/>
  <c r="W36" i="1"/>
  <c r="N37" i="1"/>
  <c r="O37" i="1"/>
  <c r="P37" i="1"/>
  <c r="Q37" i="1"/>
  <c r="R37" i="1"/>
  <c r="S37" i="1"/>
  <c r="T37" i="1"/>
  <c r="U37" i="1"/>
  <c r="V37" i="1"/>
  <c r="W37" i="1"/>
  <c r="N38" i="1"/>
  <c r="N66" i="1" s="1"/>
  <c r="O38" i="1"/>
  <c r="O66" i="1" s="1"/>
  <c r="P38" i="1"/>
  <c r="P66" i="1" s="1"/>
  <c r="Q38" i="1"/>
  <c r="Q66" i="1" s="1"/>
  <c r="R38" i="1"/>
  <c r="S38" i="1"/>
  <c r="S66" i="1" s="1"/>
  <c r="T38" i="1"/>
  <c r="T66" i="1" s="1"/>
  <c r="U38" i="1"/>
  <c r="U66" i="1" s="1"/>
  <c r="V38" i="1"/>
  <c r="V66" i="1" s="1"/>
  <c r="W38" i="1"/>
  <c r="AN16" i="1" s="1"/>
  <c r="N39" i="1"/>
  <c r="O39" i="1"/>
  <c r="P39" i="1"/>
  <c r="Q39" i="1"/>
  <c r="R39" i="1"/>
  <c r="S39" i="1"/>
  <c r="T39" i="1"/>
  <c r="U39" i="1"/>
  <c r="V39" i="1"/>
  <c r="W39" i="1"/>
  <c r="N40" i="1"/>
  <c r="O40" i="1"/>
  <c r="P40" i="1"/>
  <c r="Q40" i="1"/>
  <c r="R40" i="1"/>
  <c r="S40" i="1"/>
  <c r="T40" i="1"/>
  <c r="U40" i="1"/>
  <c r="V40" i="1"/>
  <c r="W40" i="1"/>
  <c r="N41" i="1"/>
  <c r="O41" i="1"/>
  <c r="P41" i="1"/>
  <c r="Q41" i="1"/>
  <c r="R41" i="1"/>
  <c r="S41" i="1"/>
  <c r="T41" i="1"/>
  <c r="U41" i="1"/>
  <c r="V41" i="1"/>
  <c r="W41" i="1"/>
  <c r="N42" i="1"/>
  <c r="AE17" i="1" s="1"/>
  <c r="O42" i="1"/>
  <c r="AF17" i="1" s="1"/>
  <c r="P42" i="1"/>
  <c r="AG17" i="1" s="1"/>
  <c r="Q42" i="1"/>
  <c r="AH17" i="1" s="1"/>
  <c r="R42" i="1"/>
  <c r="AI17" i="1" s="1"/>
  <c r="S42" i="1"/>
  <c r="T42" i="1"/>
  <c r="U42" i="1"/>
  <c r="AL17" i="1" s="1"/>
  <c r="V42" i="1"/>
  <c r="AM17" i="1" s="1"/>
  <c r="W42" i="1"/>
  <c r="AN17" i="1" s="1"/>
  <c r="N43" i="1"/>
  <c r="O43" i="1"/>
  <c r="P43" i="1"/>
  <c r="Q43" i="1"/>
  <c r="R43" i="1"/>
  <c r="S43" i="1"/>
  <c r="T43" i="1"/>
  <c r="U43" i="1"/>
  <c r="V43" i="1"/>
  <c r="W43" i="1"/>
  <c r="N44" i="1"/>
  <c r="AE18" i="1" s="1"/>
  <c r="O44" i="1"/>
  <c r="P44" i="1"/>
  <c r="Q44" i="1"/>
  <c r="AH18" i="1" s="1"/>
  <c r="R44" i="1"/>
  <c r="AI18" i="1" s="1"/>
  <c r="S44" i="1"/>
  <c r="AJ18" i="1" s="1"/>
  <c r="T44" i="1"/>
  <c r="AK18" i="1" s="1"/>
  <c r="U44" i="1"/>
  <c r="AL18" i="1" s="1"/>
  <c r="V44" i="1"/>
  <c r="AM18" i="1" s="1"/>
  <c r="W44" i="1"/>
  <c r="N45" i="1"/>
  <c r="O45" i="1"/>
  <c r="P45" i="1"/>
  <c r="Q45" i="1"/>
  <c r="R45" i="1"/>
  <c r="S45" i="1"/>
  <c r="T45" i="1"/>
  <c r="U45" i="1"/>
  <c r="V45" i="1"/>
  <c r="W45" i="1"/>
  <c r="N46" i="1"/>
  <c r="O46" i="1"/>
  <c r="P46" i="1"/>
  <c r="R46" i="1"/>
  <c r="S46" i="1"/>
  <c r="T46" i="1"/>
  <c r="U46" i="1"/>
  <c r="V46" i="1"/>
  <c r="W46" i="1"/>
  <c r="N47" i="1"/>
  <c r="O47" i="1"/>
  <c r="P47" i="1"/>
  <c r="Q47" i="1"/>
  <c r="R47" i="1"/>
  <c r="S47" i="1"/>
  <c r="T47" i="1"/>
  <c r="U47" i="1"/>
  <c r="V47" i="1"/>
  <c r="W47" i="1"/>
  <c r="N48" i="1"/>
  <c r="O48" i="1"/>
  <c r="P48" i="1"/>
  <c r="Q48" i="1"/>
  <c r="R48" i="1"/>
  <c r="S48" i="1"/>
  <c r="T48" i="1"/>
  <c r="U48" i="1"/>
  <c r="V48" i="1"/>
  <c r="W48" i="1"/>
  <c r="N49" i="1"/>
  <c r="O49" i="1"/>
  <c r="P49" i="1"/>
  <c r="Q49" i="1"/>
  <c r="R49" i="1"/>
  <c r="S49" i="1"/>
  <c r="T49" i="1"/>
  <c r="U49" i="1"/>
  <c r="V49" i="1"/>
  <c r="W49" i="1"/>
  <c r="N50" i="1"/>
  <c r="O50" i="1"/>
  <c r="P50" i="1"/>
  <c r="Q50" i="1"/>
  <c r="R50" i="1"/>
  <c r="S50" i="1"/>
  <c r="T50" i="1"/>
  <c r="U50" i="1"/>
  <c r="V50" i="1"/>
  <c r="W50" i="1"/>
  <c r="N51" i="1"/>
  <c r="O51" i="1"/>
  <c r="P51" i="1"/>
  <c r="Q51" i="1"/>
  <c r="R51" i="1"/>
  <c r="S51" i="1"/>
  <c r="T51" i="1"/>
  <c r="U51" i="1"/>
  <c r="V51" i="1"/>
  <c r="W51" i="1"/>
  <c r="N52" i="1"/>
  <c r="O52" i="1"/>
  <c r="P52" i="1"/>
  <c r="Q52" i="1"/>
  <c r="R52" i="1"/>
  <c r="S52" i="1"/>
  <c r="T52" i="1"/>
  <c r="U52" i="1"/>
  <c r="V52" i="1"/>
  <c r="W52" i="1"/>
  <c r="M33" i="1"/>
  <c r="M34" i="1"/>
  <c r="M35" i="1"/>
  <c r="M36" i="1"/>
  <c r="M37" i="1"/>
  <c r="M38" i="1"/>
  <c r="M66" i="1" s="1"/>
  <c r="M39" i="1"/>
  <c r="M40" i="1"/>
  <c r="M41" i="1"/>
  <c r="M42" i="1"/>
  <c r="M43" i="1"/>
  <c r="M44" i="1"/>
  <c r="AD18" i="1" s="1"/>
  <c r="M45" i="1"/>
  <c r="M46" i="1"/>
  <c r="M47" i="1"/>
  <c r="M48" i="1"/>
  <c r="M49" i="1"/>
  <c r="M50" i="1"/>
  <c r="M51" i="1"/>
  <c r="M52" i="1"/>
  <c r="L33" i="1"/>
  <c r="L34" i="1"/>
  <c r="L35" i="1"/>
  <c r="L36" i="1"/>
  <c r="L37" i="1"/>
  <c r="L38" i="1"/>
  <c r="L66" i="1" s="1"/>
  <c r="L39" i="1"/>
  <c r="L40" i="1"/>
  <c r="L41" i="1"/>
  <c r="L42" i="1"/>
  <c r="AC17" i="1" s="1"/>
  <c r="L43" i="1"/>
  <c r="L44" i="1"/>
  <c r="AC18" i="1" s="1"/>
  <c r="L45" i="1"/>
  <c r="L46" i="1"/>
  <c r="L47" i="1"/>
  <c r="L48" i="1"/>
  <c r="L49" i="1"/>
  <c r="L50" i="1"/>
  <c r="L51" i="1"/>
  <c r="L52" i="1"/>
  <c r="M32" i="1"/>
  <c r="L32" i="1"/>
  <c r="N7" i="1"/>
  <c r="O7" i="1"/>
  <c r="P7" i="1"/>
  <c r="Q7" i="1"/>
  <c r="R7" i="1"/>
  <c r="S7" i="1"/>
  <c r="T7" i="1"/>
  <c r="U7" i="1"/>
  <c r="V7" i="1"/>
  <c r="W7" i="1"/>
  <c r="N8" i="1"/>
  <c r="O8" i="1"/>
  <c r="P8" i="1"/>
  <c r="Q8" i="1"/>
  <c r="R8" i="1"/>
  <c r="S8" i="1"/>
  <c r="T8" i="1"/>
  <c r="U8" i="1"/>
  <c r="V8" i="1"/>
  <c r="W8" i="1"/>
  <c r="N9" i="1"/>
  <c r="O9" i="1"/>
  <c r="P9" i="1"/>
  <c r="Q9" i="1"/>
  <c r="R9" i="1"/>
  <c r="S9" i="1"/>
  <c r="T9" i="1"/>
  <c r="U9" i="1"/>
  <c r="V9" i="1"/>
  <c r="W9" i="1"/>
  <c r="N10" i="1"/>
  <c r="N64" i="1" s="1"/>
  <c r="O10" i="1"/>
  <c r="O64" i="1" s="1"/>
  <c r="P10" i="1"/>
  <c r="P64" i="1" s="1"/>
  <c r="Q10" i="1"/>
  <c r="Q64" i="1" s="1"/>
  <c r="R10" i="1"/>
  <c r="R64" i="1" s="1"/>
  <c r="S10" i="1"/>
  <c r="S64" i="1" s="1"/>
  <c r="T10" i="1"/>
  <c r="T64" i="1" s="1"/>
  <c r="U10" i="1"/>
  <c r="U64" i="1" s="1"/>
  <c r="V10" i="1"/>
  <c r="V64" i="1" s="1"/>
  <c r="W10" i="1"/>
  <c r="W64" i="1" s="1"/>
  <c r="N11" i="1"/>
  <c r="O11" i="1"/>
  <c r="P11" i="1"/>
  <c r="Q11" i="1"/>
  <c r="R11" i="1"/>
  <c r="S11" i="1"/>
  <c r="T11" i="1"/>
  <c r="U11" i="1"/>
  <c r="V11" i="1"/>
  <c r="W11" i="1"/>
  <c r="N12" i="1"/>
  <c r="O12" i="1"/>
  <c r="P12" i="1"/>
  <c r="Q12" i="1"/>
  <c r="R12" i="1"/>
  <c r="S12" i="1"/>
  <c r="T12" i="1"/>
  <c r="U12" i="1"/>
  <c r="V12" i="1"/>
  <c r="W12" i="1"/>
  <c r="N13" i="1"/>
  <c r="AE9" i="1" s="1"/>
  <c r="O13" i="1"/>
  <c r="AF9" i="1" s="1"/>
  <c r="P13" i="1"/>
  <c r="AG9" i="1" s="1"/>
  <c r="Q13" i="1"/>
  <c r="AH9" i="1" s="1"/>
  <c r="R13" i="1"/>
  <c r="R57" i="1" s="1"/>
  <c r="AI21" i="1" s="1"/>
  <c r="S13" i="1"/>
  <c r="S57" i="1" s="1"/>
  <c r="AJ21" i="1" s="1"/>
  <c r="T13" i="1"/>
  <c r="T57" i="1" s="1"/>
  <c r="AK21" i="1" s="1"/>
  <c r="U13" i="1"/>
  <c r="AL9" i="1" s="1"/>
  <c r="V13" i="1"/>
  <c r="V57" i="1" s="1"/>
  <c r="AM21" i="1" s="1"/>
  <c r="W13" i="1"/>
  <c r="AN9" i="1" s="1"/>
  <c r="N15" i="1"/>
  <c r="N69" i="1" s="1"/>
  <c r="O15" i="1"/>
  <c r="O69" i="1" s="1"/>
  <c r="P15" i="1"/>
  <c r="P69" i="1" s="1"/>
  <c r="Q15" i="1"/>
  <c r="Q69" i="1" s="1"/>
  <c r="R15" i="1"/>
  <c r="R69" i="1" s="1"/>
  <c r="S15" i="1"/>
  <c r="S69" i="1" s="1"/>
  <c r="T15" i="1"/>
  <c r="T69" i="1" s="1"/>
  <c r="U15" i="1"/>
  <c r="U69" i="1" s="1"/>
  <c r="V15" i="1"/>
  <c r="V69" i="1" s="1"/>
  <c r="W15" i="1"/>
  <c r="W69" i="1" s="1"/>
  <c r="N16" i="1"/>
  <c r="O16" i="1"/>
  <c r="P16" i="1"/>
  <c r="Q16" i="1"/>
  <c r="R16" i="1"/>
  <c r="S16" i="1"/>
  <c r="T16" i="1"/>
  <c r="U16" i="1"/>
  <c r="V16" i="1"/>
  <c r="W16" i="1"/>
  <c r="N17" i="1"/>
  <c r="AE10" i="1" s="1"/>
  <c r="O17" i="1"/>
  <c r="AF10" i="1" s="1"/>
  <c r="P17" i="1"/>
  <c r="AG10" i="1" s="1"/>
  <c r="Q17" i="1"/>
  <c r="AH10" i="1" s="1"/>
  <c r="R17" i="1"/>
  <c r="AI10" i="1" s="1"/>
  <c r="S17" i="1"/>
  <c r="AJ10" i="1" s="1"/>
  <c r="T17" i="1"/>
  <c r="AK10" i="1" s="1"/>
  <c r="U17" i="1"/>
  <c r="AL10" i="1" s="1"/>
  <c r="V17" i="1"/>
  <c r="AM10" i="1" s="1"/>
  <c r="W17" i="1"/>
  <c r="AN10" i="1" s="1"/>
  <c r="N18" i="1"/>
  <c r="O18" i="1"/>
  <c r="P18" i="1"/>
  <c r="Q18" i="1"/>
  <c r="R18" i="1"/>
  <c r="S18" i="1"/>
  <c r="T18" i="1"/>
  <c r="U18" i="1"/>
  <c r="V18" i="1"/>
  <c r="W18" i="1"/>
  <c r="N19" i="1"/>
  <c r="AE11" i="1" s="1"/>
  <c r="O19" i="1"/>
  <c r="AF11" i="1" s="1"/>
  <c r="P19" i="1"/>
  <c r="AG11" i="1" s="1"/>
  <c r="Q19" i="1"/>
  <c r="AH11" i="1" s="1"/>
  <c r="R19" i="1"/>
  <c r="AI11" i="1" s="1"/>
  <c r="S19" i="1"/>
  <c r="AJ11" i="1" s="1"/>
  <c r="T19" i="1"/>
  <c r="AK11" i="1" s="1"/>
  <c r="U19" i="1"/>
  <c r="AL11" i="1" s="1"/>
  <c r="V19" i="1"/>
  <c r="AM11" i="1" s="1"/>
  <c r="W19" i="1"/>
  <c r="AN11" i="1" s="1"/>
  <c r="N21" i="1"/>
  <c r="O21" i="1"/>
  <c r="P21" i="1"/>
  <c r="Q21" i="1"/>
  <c r="R21" i="1"/>
  <c r="S21" i="1"/>
  <c r="T21" i="1"/>
  <c r="U21" i="1"/>
  <c r="V21" i="1"/>
  <c r="W21" i="1"/>
  <c r="N22" i="1"/>
  <c r="O22" i="1"/>
  <c r="P22" i="1"/>
  <c r="Q22" i="1"/>
  <c r="R22" i="1"/>
  <c r="S22" i="1"/>
  <c r="T22" i="1"/>
  <c r="U22" i="1"/>
  <c r="V22" i="1"/>
  <c r="W22" i="1"/>
  <c r="N23" i="1"/>
  <c r="O23" i="1"/>
  <c r="P23" i="1"/>
  <c r="Q23" i="1"/>
  <c r="R23" i="1"/>
  <c r="S23" i="1"/>
  <c r="T23" i="1"/>
  <c r="U23" i="1"/>
  <c r="V23" i="1"/>
  <c r="W23" i="1"/>
  <c r="N24" i="1"/>
  <c r="O24" i="1"/>
  <c r="P24" i="1"/>
  <c r="Q24" i="1"/>
  <c r="R24" i="1"/>
  <c r="S24" i="1"/>
  <c r="T24" i="1"/>
  <c r="U24" i="1"/>
  <c r="V24" i="1"/>
  <c r="W24" i="1"/>
  <c r="N25" i="1"/>
  <c r="O25" i="1"/>
  <c r="P25" i="1"/>
  <c r="Q25" i="1"/>
  <c r="R25" i="1"/>
  <c r="S25" i="1"/>
  <c r="T25" i="1"/>
  <c r="U25" i="1"/>
  <c r="V25" i="1"/>
  <c r="W25" i="1"/>
  <c r="N26" i="1"/>
  <c r="O26" i="1"/>
  <c r="P26" i="1"/>
  <c r="Q26" i="1"/>
  <c r="R26" i="1"/>
  <c r="S26" i="1"/>
  <c r="T26" i="1"/>
  <c r="U26" i="1"/>
  <c r="V26" i="1"/>
  <c r="W26" i="1"/>
  <c r="N27" i="1"/>
  <c r="O27" i="1"/>
  <c r="P27" i="1"/>
  <c r="Q27" i="1"/>
  <c r="R27" i="1"/>
  <c r="S27" i="1"/>
  <c r="T27" i="1"/>
  <c r="U27" i="1"/>
  <c r="V27" i="1"/>
  <c r="W27" i="1"/>
  <c r="M8" i="1"/>
  <c r="M9" i="1"/>
  <c r="M10" i="1"/>
  <c r="M64" i="1" s="1"/>
  <c r="M11" i="1"/>
  <c r="M12" i="1"/>
  <c r="M13" i="1"/>
  <c r="AD9" i="1" s="1"/>
  <c r="M15" i="1"/>
  <c r="M69" i="1" s="1"/>
  <c r="M16" i="1"/>
  <c r="M17" i="1"/>
  <c r="AD10" i="1" s="1"/>
  <c r="M18" i="1"/>
  <c r="M19" i="1"/>
  <c r="AD11" i="1" s="1"/>
  <c r="M21" i="1"/>
  <c r="M22" i="1"/>
  <c r="M23" i="1"/>
  <c r="M24" i="1"/>
  <c r="M25" i="1"/>
  <c r="M26" i="1"/>
  <c r="M27" i="1"/>
  <c r="M7" i="1"/>
  <c r="L8" i="1"/>
  <c r="L9" i="1"/>
  <c r="L10" i="1"/>
  <c r="L64" i="1" s="1"/>
  <c r="L11" i="1"/>
  <c r="L12" i="1"/>
  <c r="L13" i="1"/>
  <c r="L57" i="1" s="1"/>
  <c r="L14" i="1"/>
  <c r="L15" i="1"/>
  <c r="L69" i="1" s="1"/>
  <c r="L16" i="1"/>
  <c r="L17" i="1"/>
  <c r="AC10" i="1" s="1"/>
  <c r="L18" i="1"/>
  <c r="L19" i="1"/>
  <c r="AC11" i="1" s="1"/>
  <c r="L20" i="1"/>
  <c r="L21" i="1"/>
  <c r="L22" i="1"/>
  <c r="L23" i="1"/>
  <c r="L24" i="1"/>
  <c r="L25" i="1"/>
  <c r="L26" i="1"/>
  <c r="L27" i="1"/>
  <c r="L7" i="1"/>
  <c r="AJ15" i="1" a="1"/>
  <c r="AE7" i="1" a="1"/>
  <c r="AL8" i="1" a="1"/>
  <c r="AI15" i="1" a="1"/>
  <c r="AK7" i="1" a="1"/>
  <c r="AD14" i="1" a="1"/>
  <c r="AK15" i="1" a="1"/>
  <c r="AC14" i="1" a="1"/>
  <c r="AH14" i="1" a="1"/>
  <c r="AN7" i="1" a="1"/>
  <c r="AM7" i="1" a="1"/>
  <c r="AF7" i="1" a="1"/>
  <c r="AD8" i="1" a="1"/>
  <c r="AF15" i="1" a="1"/>
  <c r="AD7" i="1" a="1"/>
  <c r="AK8" i="1" a="1"/>
  <c r="AG15" i="1" a="1"/>
  <c r="AL14" i="1" a="1"/>
  <c r="AH8" i="1" a="1"/>
  <c r="AD15" i="1" a="1"/>
  <c r="AC7" i="1" a="1"/>
  <c r="AL15" i="1" a="1"/>
  <c r="AF8" i="1" a="1"/>
  <c r="AJ8" i="1" a="1"/>
  <c r="AE14" i="1" a="1"/>
  <c r="AH15" i="1" a="1"/>
  <c r="AI7" i="1" a="1"/>
  <c r="AI14" i="1" a="1"/>
  <c r="AG8" i="1" a="1"/>
  <c r="AM14" i="1" a="1"/>
  <c r="AC8" i="1" a="1"/>
  <c r="AF14" i="1" a="1"/>
  <c r="AL7" i="1" a="1"/>
  <c r="AG14" i="1" a="1"/>
  <c r="AI8" i="1" a="1"/>
  <c r="AE8" i="1" a="1"/>
  <c r="AE15" i="1" a="1"/>
  <c r="AN8" i="1" a="1"/>
  <c r="AM15" i="1" a="1"/>
  <c r="AG7" i="1" a="1"/>
  <c r="AN14" i="1" a="1"/>
  <c r="AN15" i="1" a="1"/>
  <c r="AK14" i="1" a="1"/>
  <c r="AJ14" i="1" a="1"/>
  <c r="AC15" i="1" a="1"/>
  <c r="AM8" i="1" a="1"/>
  <c r="AH7" i="1" a="1"/>
  <c r="AJ7" i="1" a="1"/>
  <c r="W66" i="1" l="1"/>
  <c r="AC7" i="1"/>
  <c r="AI16" i="1"/>
  <c r="AD17" i="1"/>
  <c r="AG18" i="1"/>
  <c r="AK17" i="1"/>
  <c r="AN18" i="1"/>
  <c r="AF18" i="1"/>
  <c r="AJ17" i="1"/>
  <c r="AG16" i="1"/>
  <c r="AD16" i="1"/>
  <c r="AL16" i="1"/>
  <c r="AE14" i="1"/>
  <c r="AI15" i="1"/>
  <c r="AI14" i="1"/>
  <c r="AM14" i="1"/>
  <c r="AE15" i="1"/>
  <c r="AM15" i="1"/>
  <c r="AF14" i="1"/>
  <c r="AJ14" i="1"/>
  <c r="AN14" i="1"/>
  <c r="AF15" i="1"/>
  <c r="AJ15" i="1"/>
  <c r="AN15" i="1"/>
  <c r="AC14" i="1"/>
  <c r="AG14" i="1"/>
  <c r="AK14" i="1"/>
  <c r="AC15" i="1"/>
  <c r="AG15" i="1"/>
  <c r="AK15" i="1"/>
  <c r="AD14" i="1"/>
  <c r="AH14" i="1"/>
  <c r="AL14" i="1"/>
  <c r="AD15" i="1"/>
  <c r="AH15" i="1"/>
  <c r="AL15" i="1"/>
  <c r="AH16" i="1"/>
  <c r="AJ16" i="1"/>
  <c r="AC16" i="1"/>
  <c r="AK16" i="1"/>
  <c r="AE16" i="1"/>
  <c r="AM16" i="1"/>
  <c r="AF16" i="1"/>
  <c r="AB14" i="1"/>
  <c r="V67" i="1"/>
  <c r="T67" i="1"/>
  <c r="S67" i="1"/>
  <c r="L67" i="1"/>
  <c r="AJ9" i="1"/>
  <c r="AI9" i="1"/>
  <c r="AK9" i="1"/>
  <c r="AM9" i="1"/>
  <c r="AC9" i="1"/>
  <c r="AL8" i="1"/>
  <c r="AM7" i="1"/>
  <c r="AK8" i="1"/>
  <c r="AL7" i="1"/>
  <c r="AN8" i="1"/>
  <c r="AJ8" i="1"/>
  <c r="AK7" i="1"/>
  <c r="AM8" i="1"/>
  <c r="AN7" i="1"/>
  <c r="AJ7" i="1"/>
  <c r="AE8" i="1"/>
  <c r="AI8" i="1"/>
  <c r="AG7" i="1"/>
  <c r="AH8" i="1"/>
  <c r="AD8" i="1"/>
  <c r="AF7" i="1"/>
  <c r="AG8" i="1"/>
  <c r="AI7" i="1"/>
  <c r="AE7" i="1"/>
  <c r="AF8" i="1"/>
  <c r="AH7" i="1"/>
  <c r="AD7" i="1"/>
  <c r="AC8" i="1"/>
  <c r="U14" i="1"/>
  <c r="M14" i="1"/>
  <c r="Q14" i="1"/>
  <c r="P14" i="1"/>
  <c r="W14" i="1"/>
  <c r="O14" i="1"/>
  <c r="N14" i="1"/>
  <c r="M20" i="1"/>
  <c r="N20" i="1" s="1"/>
  <c r="O20" i="1" s="1"/>
  <c r="P20" i="1" s="1"/>
  <c r="Q20" i="1" s="1"/>
  <c r="R20" i="1" s="1"/>
  <c r="S20" i="1" s="1"/>
  <c r="T14" i="1"/>
  <c r="S14" i="1"/>
  <c r="R14" i="1"/>
  <c r="V14" i="1"/>
  <c r="M56" i="1"/>
  <c r="AD22" i="1" s="1"/>
  <c r="O71" i="1"/>
  <c r="R71" i="1"/>
  <c r="P71" i="1"/>
  <c r="N71" i="1"/>
  <c r="W70" i="1"/>
  <c r="U70" i="1"/>
  <c r="V71" i="1"/>
  <c r="T71" i="1"/>
  <c r="Q71" i="1"/>
  <c r="S71" i="1"/>
  <c r="W71" i="1"/>
  <c r="N70" i="1"/>
  <c r="U71" i="1"/>
  <c r="M71" i="1"/>
  <c r="Q70" i="1"/>
  <c r="P56" i="1"/>
  <c r="AG22" i="1" s="1"/>
  <c r="L70" i="1"/>
  <c r="R70" i="1"/>
  <c r="L71" i="1"/>
  <c r="T70" i="1"/>
  <c r="M70" i="1"/>
  <c r="V70" i="1"/>
  <c r="O70" i="1"/>
  <c r="P70" i="1"/>
  <c r="R65" i="1"/>
  <c r="S70" i="1"/>
  <c r="Q56" i="1"/>
  <c r="AH22" i="1" s="1"/>
  <c r="R66" i="1"/>
  <c r="R67" i="1" s="1"/>
  <c r="N56" i="1"/>
  <c r="AE22" i="1" s="1"/>
  <c r="U56" i="1"/>
  <c r="AL22" i="1" s="1"/>
  <c r="O65" i="1"/>
  <c r="W57" i="1"/>
  <c r="L65" i="1"/>
  <c r="W65" i="1"/>
  <c r="T65" i="1"/>
  <c r="M65" i="1"/>
  <c r="U65" i="1"/>
  <c r="N65" i="1"/>
  <c r="V65" i="1"/>
  <c r="P65" i="1"/>
  <c r="O56" i="1"/>
  <c r="AF22" i="1" s="1"/>
  <c r="W56" i="1"/>
  <c r="AN22" i="1" s="1"/>
  <c r="Q57" i="1"/>
  <c r="Q65" i="1"/>
  <c r="V56" i="1"/>
  <c r="AM22" i="1" s="1"/>
  <c r="T56" i="1"/>
  <c r="AK22" i="1" s="1"/>
  <c r="S65" i="1"/>
  <c r="P57" i="1"/>
  <c r="S56" i="1"/>
  <c r="AJ22" i="1" s="1"/>
  <c r="O57" i="1"/>
  <c r="R56" i="1"/>
  <c r="AI22" i="1" s="1"/>
  <c r="N57" i="1"/>
  <c r="U57" i="1"/>
  <c r="M57" i="1"/>
  <c r="L56" i="1"/>
  <c r="P67" i="1" l="1"/>
  <c r="AG21" i="1"/>
  <c r="W67" i="1"/>
  <c r="AN21" i="1"/>
  <c r="N67" i="1"/>
  <c r="AE21" i="1"/>
  <c r="Q67" i="1"/>
  <c r="AH21" i="1"/>
  <c r="M67" i="1"/>
  <c r="AD21" i="1"/>
  <c r="U67" i="1"/>
  <c r="AL21" i="1"/>
  <c r="O67" i="1"/>
  <c r="AF21" i="1"/>
  <c r="AC21" i="1"/>
  <c r="AC22" i="1"/>
  <c r="T20" i="1"/>
  <c r="U20" i="1" s="1"/>
  <c r="V20" i="1" s="1"/>
  <c r="W20" i="1" s="1"/>
  <c r="B17" i="2"/>
  <c r="C17" i="2" s="1"/>
  <c r="B16" i="2"/>
  <c r="F3" i="2"/>
  <c r="F7" i="2"/>
  <c r="X62" i="1" l="1"/>
  <c r="C16" i="2"/>
  <c r="M23" i="2"/>
  <c r="F5" i="2"/>
  <c r="F9" i="2" s="1"/>
  <c r="O17" i="2" l="1"/>
  <c r="O16" i="2"/>
  <c r="O19" i="2"/>
  <c r="AG24" i="1" l="1"/>
  <c r="AG25" i="1" s="1"/>
  <c r="P58" i="1" s="1"/>
  <c r="AL24" i="1"/>
  <c r="AL25" i="1" s="1"/>
  <c r="U58" i="1" s="1"/>
  <c r="AH24" i="1"/>
  <c r="AH25" i="1" s="1"/>
  <c r="Q58" i="1" s="1"/>
  <c r="AF24" i="1"/>
  <c r="AF25" i="1" s="1"/>
  <c r="O58" i="1" s="1"/>
  <c r="AE24" i="1"/>
  <c r="AE25" i="1" s="1"/>
  <c r="N58" i="1" s="1"/>
  <c r="AD24" i="1"/>
  <c r="AD25" i="1" s="1"/>
  <c r="M58" i="1" s="1"/>
  <c r="AN24" i="1"/>
  <c r="AN25" i="1" s="1"/>
  <c r="W58" i="1" s="1"/>
  <c r="AM24" i="1"/>
  <c r="AM25" i="1" s="1"/>
  <c r="V58" i="1" s="1"/>
  <c r="AI24" i="1"/>
  <c r="AI25" i="1" s="1"/>
  <c r="R58" i="1" s="1"/>
  <c r="AJ24" i="1"/>
  <c r="AJ25" i="1" s="1"/>
  <c r="S58" i="1" s="1"/>
  <c r="AK24" i="1"/>
  <c r="AK25" i="1" s="1"/>
  <c r="T58" i="1" s="1"/>
  <c r="AC24" i="1"/>
  <c r="AC25" i="1" s="1"/>
  <c r="L58" i="1" s="1"/>
  <c r="O21" i="2"/>
  <c r="O2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<sst xmlns="http://schemas.openxmlformats.org/spreadsheetml/2006/main" count="776" uniqueCount="380">
  <si>
    <t xml:space="preserve"> </t>
  </si>
  <si>
    <t>Label</t>
  </si>
  <si>
    <t>slice</t>
  </si>
  <si>
    <t>Saturated</t>
  </si>
  <si>
    <t>J.D.-2400000</t>
  </si>
  <si>
    <t>JD_UTC</t>
  </si>
  <si>
    <t>JD_SOBS</t>
  </si>
  <si>
    <t>HJD_UTC</t>
  </si>
  <si>
    <t>BJD_TDB</t>
  </si>
  <si>
    <t>AIRMASS</t>
  </si>
  <si>
    <t>ALT_OBJ</t>
  </si>
  <si>
    <t>CCD-TEMP</t>
  </si>
  <si>
    <t>EXPTIME</t>
  </si>
  <si>
    <t>RAOBJ2K</t>
  </si>
  <si>
    <t>DECOBJ2K</t>
  </si>
  <si>
    <t>FWHM_Mean</t>
  </si>
  <si>
    <t>Source_Radius</t>
  </si>
  <si>
    <t>FWHM_Mult</t>
  </si>
  <si>
    <t>Source_Rad(base)</t>
  </si>
  <si>
    <t>Sky_Rad(min)</t>
  </si>
  <si>
    <t>Sky_Rad(max)</t>
  </si>
  <si>
    <t>rel_flux_T1</t>
  </si>
  <si>
    <t>rel_flux_T2</t>
  </si>
  <si>
    <t>rel_flux_T3</t>
  </si>
  <si>
    <t>rel_flux_T4</t>
  </si>
  <si>
    <t>rel_flux_T5</t>
  </si>
  <si>
    <t>rel_flux_T6</t>
  </si>
  <si>
    <t>rel_flux_T7</t>
  </si>
  <si>
    <t>rel_flux_T8</t>
  </si>
  <si>
    <t>rel_flux_T9</t>
  </si>
  <si>
    <t>rel_flux_T10</t>
  </si>
  <si>
    <t>rel_flux_T11</t>
  </si>
  <si>
    <t>rel_flux_T12</t>
  </si>
  <si>
    <t>rel_flux_err_T1</t>
  </si>
  <si>
    <t>rel_flux_err_T2</t>
  </si>
  <si>
    <t>rel_flux_err_T3</t>
  </si>
  <si>
    <t>rel_flux_err_T4</t>
  </si>
  <si>
    <t>rel_flux_err_T5</t>
  </si>
  <si>
    <t>rel_flux_err_T6</t>
  </si>
  <si>
    <t>rel_flux_err_T7</t>
  </si>
  <si>
    <t>rel_flux_err_T8</t>
  </si>
  <si>
    <t>rel_flux_err_T9</t>
  </si>
  <si>
    <t>rel_flux_err_T10</t>
  </si>
  <si>
    <t>rel_flux_err_T11</t>
  </si>
  <si>
    <t>rel_flux_err_T12</t>
  </si>
  <si>
    <t>rel_flux_SNR_T1</t>
  </si>
  <si>
    <t>rel_flux_SNR_T2</t>
  </si>
  <si>
    <t>rel_flux_SNR_T3</t>
  </si>
  <si>
    <t>rel_flux_SNR_T4</t>
  </si>
  <si>
    <t>rel_flux_SNR_T5</t>
  </si>
  <si>
    <t>rel_flux_SNR_T6</t>
  </si>
  <si>
    <t>rel_flux_SNR_T7</t>
  </si>
  <si>
    <t>rel_flux_SNR_T8</t>
  </si>
  <si>
    <t>rel_flux_SNR_T9</t>
  </si>
  <si>
    <t>rel_flux_SNR_T10</t>
  </si>
  <si>
    <t>rel_flux_SNR_T11</t>
  </si>
  <si>
    <t>rel_flux_SNR_T12</t>
  </si>
  <si>
    <t>tot_C_cnts</t>
  </si>
  <si>
    <t>tot_C_err</t>
  </si>
  <si>
    <t>X(IJ)_T1</t>
  </si>
  <si>
    <t>Y(IJ)_T1</t>
  </si>
  <si>
    <t>X(FITS)_T1</t>
  </si>
  <si>
    <t>Y(FITS)_T1</t>
  </si>
  <si>
    <t>RA_T1</t>
  </si>
  <si>
    <t>DEC_T1</t>
  </si>
  <si>
    <t>Source-Sky_T1</t>
  </si>
  <si>
    <t>N_Src_Pixels_T1</t>
  </si>
  <si>
    <t>Source_Error_T1</t>
  </si>
  <si>
    <t>Source_SNR_T1</t>
  </si>
  <si>
    <t>Peak_T1</t>
  </si>
  <si>
    <t>Mean_T1</t>
  </si>
  <si>
    <t>Sky/Pixel_T1</t>
  </si>
  <si>
    <t>N_Sky_Pixels_T1</t>
  </si>
  <si>
    <t>FWHM_T1</t>
  </si>
  <si>
    <t>Width_T1</t>
  </si>
  <si>
    <t>X-Width_T1</t>
  </si>
  <si>
    <t>Y-Width_T1</t>
  </si>
  <si>
    <t>Angle_T1</t>
  </si>
  <si>
    <t>Roundness_T1</t>
  </si>
  <si>
    <t>Variance_T1</t>
  </si>
  <si>
    <t>X(IJ)_T2</t>
  </si>
  <si>
    <t>Y(IJ)_T2</t>
  </si>
  <si>
    <t>X(FITS)_T2</t>
  </si>
  <si>
    <t>Y(FITS)_T2</t>
  </si>
  <si>
    <t>RA_T2</t>
  </si>
  <si>
    <t>DEC_T2</t>
  </si>
  <si>
    <t>Source-Sky_T2</t>
  </si>
  <si>
    <t>Source_Error_T2</t>
  </si>
  <si>
    <t>Source_SNR_T2</t>
  </si>
  <si>
    <t>Peak_T2</t>
  </si>
  <si>
    <t>Mean_T2</t>
  </si>
  <si>
    <t>Sky/Pixel_T2</t>
  </si>
  <si>
    <t>FWHM_T2</t>
  </si>
  <si>
    <t>Width_T2</t>
  </si>
  <si>
    <t>X-Width_T2</t>
  </si>
  <si>
    <t>Y-Width_T2</t>
  </si>
  <si>
    <t>Angle_T2</t>
  </si>
  <si>
    <t>Roundness_T2</t>
  </si>
  <si>
    <t>Variance_T2</t>
  </si>
  <si>
    <t>X(IJ)_T3</t>
  </si>
  <si>
    <t>Y(IJ)_T3</t>
  </si>
  <si>
    <t>X(FITS)_T3</t>
  </si>
  <si>
    <t>Y(FITS)_T3</t>
  </si>
  <si>
    <t>RA_T3</t>
  </si>
  <si>
    <t>DEC_T3</t>
  </si>
  <si>
    <t>Source-Sky_T3</t>
  </si>
  <si>
    <t>Source_Error_T3</t>
  </si>
  <si>
    <t>Source_SNR_T3</t>
  </si>
  <si>
    <t>Peak_T3</t>
  </si>
  <si>
    <t>Mean_T3</t>
  </si>
  <si>
    <t>Sky/Pixel_T3</t>
  </si>
  <si>
    <t>FWHM_T3</t>
  </si>
  <si>
    <t>Width_T3</t>
  </si>
  <si>
    <t>X-Width_T3</t>
  </si>
  <si>
    <t>Y-Width_T3</t>
  </si>
  <si>
    <t>Angle_T3</t>
  </si>
  <si>
    <t>Roundness_T3</t>
  </si>
  <si>
    <t>Variance_T3</t>
  </si>
  <si>
    <t>X(IJ)_T4</t>
  </si>
  <si>
    <t>Y(IJ)_T4</t>
  </si>
  <si>
    <t>X(FITS)_T4</t>
  </si>
  <si>
    <t>Y(FITS)_T4</t>
  </si>
  <si>
    <t>RA_T4</t>
  </si>
  <si>
    <t>DEC_T4</t>
  </si>
  <si>
    <t>Source-Sky_T4</t>
  </si>
  <si>
    <t>Source_Error_T4</t>
  </si>
  <si>
    <t>Source_SNR_T4</t>
  </si>
  <si>
    <t>Peak_T4</t>
  </si>
  <si>
    <t>Mean_T4</t>
  </si>
  <si>
    <t>Sky/Pixel_T4</t>
  </si>
  <si>
    <t>FWHM_T4</t>
  </si>
  <si>
    <t>Width_T4</t>
  </si>
  <si>
    <t>X-Width_T4</t>
  </si>
  <si>
    <t>Y-Width_T4</t>
  </si>
  <si>
    <t>Angle_T4</t>
  </si>
  <si>
    <t>Roundness_T4</t>
  </si>
  <si>
    <t>Variance_T4</t>
  </si>
  <si>
    <t>X(IJ)_T5</t>
  </si>
  <si>
    <t>Y(IJ)_T5</t>
  </si>
  <si>
    <t>X(FITS)_T5</t>
  </si>
  <si>
    <t>Y(FITS)_T5</t>
  </si>
  <si>
    <t>RA_T5</t>
  </si>
  <si>
    <t>DEC_T5</t>
  </si>
  <si>
    <t>Source-Sky_T5</t>
  </si>
  <si>
    <t>Source_Error_T5</t>
  </si>
  <si>
    <t>Source_SNR_T5</t>
  </si>
  <si>
    <t>Peak_T5</t>
  </si>
  <si>
    <t>Mean_T5</t>
  </si>
  <si>
    <t>Sky/Pixel_T5</t>
  </si>
  <si>
    <t>FWHM_T5</t>
  </si>
  <si>
    <t>Width_T5</t>
  </si>
  <si>
    <t>X-Width_T5</t>
  </si>
  <si>
    <t>Y-Width_T5</t>
  </si>
  <si>
    <t>Angle_T5</t>
  </si>
  <si>
    <t>Roundness_T5</t>
  </si>
  <si>
    <t>Variance_T5</t>
  </si>
  <si>
    <t>X(IJ)_T6</t>
  </si>
  <si>
    <t>Y(IJ)_T6</t>
  </si>
  <si>
    <t>X(FITS)_T6</t>
  </si>
  <si>
    <t>Y(FITS)_T6</t>
  </si>
  <si>
    <t>RA_T6</t>
  </si>
  <si>
    <t>DEC_T6</t>
  </si>
  <si>
    <t>Source-Sky_T6</t>
  </si>
  <si>
    <t>Source_Error_T6</t>
  </si>
  <si>
    <t>Source_SNR_T6</t>
  </si>
  <si>
    <t>Peak_T6</t>
  </si>
  <si>
    <t>Mean_T6</t>
  </si>
  <si>
    <t>Sky/Pixel_T6</t>
  </si>
  <si>
    <t>FWHM_T6</t>
  </si>
  <si>
    <t>Width_T6</t>
  </si>
  <si>
    <t>X-Width_T6</t>
  </si>
  <si>
    <t>Y-Width_T6</t>
  </si>
  <si>
    <t>Angle_T6</t>
  </si>
  <si>
    <t>Roundness_T6</t>
  </si>
  <si>
    <t>Variance_T6</t>
  </si>
  <si>
    <t>X(IJ)_T7</t>
  </si>
  <si>
    <t>Y(IJ)_T7</t>
  </si>
  <si>
    <t>X(FITS)_T7</t>
  </si>
  <si>
    <t>Y(FITS)_T7</t>
  </si>
  <si>
    <t>RA_T7</t>
  </si>
  <si>
    <t>DEC_T7</t>
  </si>
  <si>
    <t>Source-Sky_T7</t>
  </si>
  <si>
    <t>Source_Error_T7</t>
  </si>
  <si>
    <t>Source_SNR_T7</t>
  </si>
  <si>
    <t>Peak_T7</t>
  </si>
  <si>
    <t>Mean_T7</t>
  </si>
  <si>
    <t>Sky/Pixel_T7</t>
  </si>
  <si>
    <t>FWHM_T7</t>
  </si>
  <si>
    <t>Width_T7</t>
  </si>
  <si>
    <t>X-Width_T7</t>
  </si>
  <si>
    <t>Y-Width_T7</t>
  </si>
  <si>
    <t>Angle_T7</t>
  </si>
  <si>
    <t>Roundness_T7</t>
  </si>
  <si>
    <t>Variance_T7</t>
  </si>
  <si>
    <t>X(IJ)_T8</t>
  </si>
  <si>
    <t>Y(IJ)_T8</t>
  </si>
  <si>
    <t>X(FITS)_T8</t>
  </si>
  <si>
    <t>Y(FITS)_T8</t>
  </si>
  <si>
    <t>RA_T8</t>
  </si>
  <si>
    <t>DEC_T8</t>
  </si>
  <si>
    <t>Source-Sky_T8</t>
  </si>
  <si>
    <t>Source_Error_T8</t>
  </si>
  <si>
    <t>Source_SNR_T8</t>
  </si>
  <si>
    <t>Peak_T8</t>
  </si>
  <si>
    <t>Mean_T8</t>
  </si>
  <si>
    <t>Sky/Pixel_T8</t>
  </si>
  <si>
    <t>FWHM_T8</t>
  </si>
  <si>
    <t>Width_T8</t>
  </si>
  <si>
    <t>X-Width_T8</t>
  </si>
  <si>
    <t>Y-Width_T8</t>
  </si>
  <si>
    <t>Angle_T8</t>
  </si>
  <si>
    <t>Roundness_T8</t>
  </si>
  <si>
    <t>Variance_T8</t>
  </si>
  <si>
    <t>X(IJ)_T9</t>
  </si>
  <si>
    <t>Y(IJ)_T9</t>
  </si>
  <si>
    <t>X(FITS)_T9</t>
  </si>
  <si>
    <t>Y(FITS)_T9</t>
  </si>
  <si>
    <t>RA_T9</t>
  </si>
  <si>
    <t>DEC_T9</t>
  </si>
  <si>
    <t>Source-Sky_T9</t>
  </si>
  <si>
    <t>Source_Error_T9</t>
  </si>
  <si>
    <t>Source_SNR_T9</t>
  </si>
  <si>
    <t>Peak_T9</t>
  </si>
  <si>
    <t>Mean_T9</t>
  </si>
  <si>
    <t>Sky/Pixel_T9</t>
  </si>
  <si>
    <t>FWHM_T9</t>
  </si>
  <si>
    <t>Width_T9</t>
  </si>
  <si>
    <t>X-Width_T9</t>
  </si>
  <si>
    <t>Y-Width_T9</t>
  </si>
  <si>
    <t>Angle_T9</t>
  </si>
  <si>
    <t>Roundness_T9</t>
  </si>
  <si>
    <t>Variance_T9</t>
  </si>
  <si>
    <t>X(IJ)_T10</t>
  </si>
  <si>
    <t>Y(IJ)_T10</t>
  </si>
  <si>
    <t>X(FITS)_T10</t>
  </si>
  <si>
    <t>Y(FITS)_T10</t>
  </si>
  <si>
    <t>RA_T10</t>
  </si>
  <si>
    <t>DEC_T10</t>
  </si>
  <si>
    <t>Source-Sky_T10</t>
  </si>
  <si>
    <t>Source_Error_T10</t>
  </si>
  <si>
    <t>Source_SNR_T10</t>
  </si>
  <si>
    <t>Peak_T10</t>
  </si>
  <si>
    <t>Mean_T10</t>
  </si>
  <si>
    <t>Sky/Pixel_T10</t>
  </si>
  <si>
    <t>FWHM_T10</t>
  </si>
  <si>
    <t>Width_T10</t>
  </si>
  <si>
    <t>X-Width_T10</t>
  </si>
  <si>
    <t>Y-Width_T10</t>
  </si>
  <si>
    <t>Angle_T10</t>
  </si>
  <si>
    <t>Roundness_T10</t>
  </si>
  <si>
    <t>Variance_T10</t>
  </si>
  <si>
    <t>X(IJ)_T11</t>
  </si>
  <si>
    <t>Y(IJ)_T11</t>
  </si>
  <si>
    <t>X(FITS)_T11</t>
  </si>
  <si>
    <t>Y(FITS)_T11</t>
  </si>
  <si>
    <t>RA_T11</t>
  </si>
  <si>
    <t>DEC_T11</t>
  </si>
  <si>
    <t>Source-Sky_T11</t>
  </si>
  <si>
    <t>Source_Error_T11</t>
  </si>
  <si>
    <t>Source_SNR_T11</t>
  </si>
  <si>
    <t>Peak_T11</t>
  </si>
  <si>
    <t>Mean_T11</t>
  </si>
  <si>
    <t>Sky/Pixel_T11</t>
  </si>
  <si>
    <t>FWHM_T11</t>
  </si>
  <si>
    <t>Width_T11</t>
  </si>
  <si>
    <t>X-Width_T11</t>
  </si>
  <si>
    <t>Y-Width_T11</t>
  </si>
  <si>
    <t>Angle_T11</t>
  </si>
  <si>
    <t>Roundness_T11</t>
  </si>
  <si>
    <t>Variance_T11</t>
  </si>
  <si>
    <t>X(IJ)_T12</t>
  </si>
  <si>
    <t>Y(IJ)_T12</t>
  </si>
  <si>
    <t>X(FITS)_T12</t>
  </si>
  <si>
    <t>Y(FITS)_T12</t>
  </si>
  <si>
    <t>RA_T12</t>
  </si>
  <si>
    <t>DEC_T12</t>
  </si>
  <si>
    <t>Source-Sky_T12</t>
  </si>
  <si>
    <t>Source_Error_T12</t>
  </si>
  <si>
    <t>Source_SNR_T12</t>
  </si>
  <si>
    <t>Peak_T12</t>
  </si>
  <si>
    <t>Mean_T12</t>
  </si>
  <si>
    <t>Sky/Pixel_T12</t>
  </si>
  <si>
    <t>FWHM_T12</t>
  </si>
  <si>
    <t>Width_T12</t>
  </si>
  <si>
    <t>X-Width_T12</t>
  </si>
  <si>
    <t>Y-Width_T12</t>
  </si>
  <si>
    <t>Angle_T12</t>
  </si>
  <si>
    <t>Roundness_T12</t>
  </si>
  <si>
    <t>Variance_T12</t>
  </si>
  <si>
    <t>NaN</t>
  </si>
  <si>
    <t>RA</t>
  </si>
  <si>
    <t>DEC</t>
  </si>
  <si>
    <t>M71-K-sN20050812S0143_proc.fits</t>
  </si>
  <si>
    <t>H-Band</t>
  </si>
  <si>
    <t>K-Band</t>
  </si>
  <si>
    <t>Magnitude</t>
  </si>
  <si>
    <t>H-K</t>
  </si>
  <si>
    <t>M71-H-sN20050812S0204_proc.fits</t>
  </si>
  <si>
    <t>faintest</t>
  </si>
  <si>
    <t>npix</t>
  </si>
  <si>
    <t>nb</t>
  </si>
  <si>
    <t>Fstar</t>
  </si>
  <si>
    <t>Fs</t>
  </si>
  <si>
    <t>Fd</t>
  </si>
  <si>
    <t>Fr</t>
  </si>
  <si>
    <t>Sigmaf</t>
  </si>
  <si>
    <t>Gain</t>
  </si>
  <si>
    <t>Noise</t>
  </si>
  <si>
    <t>Signal</t>
  </si>
  <si>
    <t>SN</t>
  </si>
  <si>
    <t xml:space="preserve">reported </t>
  </si>
  <si>
    <t>should be</t>
  </si>
  <si>
    <t>Have to count in electrons</t>
  </si>
  <si>
    <t>Star 9</t>
  </si>
  <si>
    <t>X(IJ)_C13</t>
  </si>
  <si>
    <t>Y(IJ)_C13</t>
  </si>
  <si>
    <t>X(FITS)_C13</t>
  </si>
  <si>
    <t>Y(FITS)_C13</t>
  </si>
  <si>
    <t>RA_C13</t>
  </si>
  <si>
    <t>DEC_C13</t>
  </si>
  <si>
    <t>Source-Sky_C13</t>
  </si>
  <si>
    <t>Source_Error_C13</t>
  </si>
  <si>
    <t>Source_SNR_C13</t>
  </si>
  <si>
    <t>Sky/Pixel_C13</t>
  </si>
  <si>
    <t>Peak_C13</t>
  </si>
  <si>
    <t>Mean_C13</t>
  </si>
  <si>
    <t>X-Width_C13</t>
  </si>
  <si>
    <t>Y-Width_C13</t>
  </si>
  <si>
    <t>FWHM_C13</t>
  </si>
  <si>
    <t>Width_C13</t>
  </si>
  <si>
    <t>Angle_C13</t>
  </si>
  <si>
    <t>Roundness_C13</t>
  </si>
  <si>
    <t>Variance_C13</t>
  </si>
  <si>
    <t>rel_flux_C13</t>
  </si>
  <si>
    <t>rel_flux_err_C13</t>
  </si>
  <si>
    <t>rel_flux_SNR_C13</t>
  </si>
  <si>
    <t>Integrated Source Counts</t>
  </si>
  <si>
    <t>Noise Numerator</t>
  </si>
  <si>
    <t>read</t>
  </si>
  <si>
    <t>e- / pixel</t>
  </si>
  <si>
    <t>dark</t>
  </si>
  <si>
    <t>Frame</t>
  </si>
  <si>
    <t>pixels</t>
  </si>
  <si>
    <t>electrons</t>
  </si>
  <si>
    <t>see p 8-11</t>
  </si>
  <si>
    <t>Variance components</t>
  </si>
  <si>
    <t>S/N</t>
  </si>
  <si>
    <t>sqrt</t>
  </si>
  <si>
    <t>sky noise</t>
  </si>
  <si>
    <t>signal noise</t>
  </si>
  <si>
    <t>Pixels - Source</t>
  </si>
  <si>
    <t>Pixels -Sky</t>
  </si>
  <si>
    <t>Star Flux</t>
  </si>
  <si>
    <t>Peak Flux</t>
  </si>
  <si>
    <t>Sky Background</t>
  </si>
  <si>
    <t>dms</t>
  </si>
  <si>
    <t>ADU</t>
  </si>
  <si>
    <t>ADU/pixel</t>
  </si>
  <si>
    <t>Instrumental Mag</t>
  </si>
  <si>
    <t>Delta Mag</t>
  </si>
  <si>
    <t>H-K Mag</t>
  </si>
  <si>
    <t>inst. mags</t>
  </si>
  <si>
    <t>Instrument Magnitudes</t>
  </si>
  <si>
    <t>Signal/Noise</t>
  </si>
  <si>
    <t>Mag &amp; Colour Error</t>
  </si>
  <si>
    <t>mags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</si>
  <si>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</si>
  <si>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</si>
  <si>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</si>
  <si>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</si>
  <si>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</si>
  <si>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</si>
  <si>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</si>
  <si>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</si>
  <si>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</si>
  <si>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</si>
  <si>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</si>
  <si>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</si>
  <si>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Error Bars</t>
  </si>
  <si>
    <t>Star_Name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</si>
</sst>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"/>
    <numFmt numFmtId="165" formatCode="0.000%"/>
    <numFmt numFmtId="166" formatCode="_-* #,##0_-;\-* #,##0_-;_-* &quot;-&quot;??_-;_-@_-"/>
    <numFmt numFmtId="167" formatCode="_-* #,##0.0_-;\-* #,##0.0_-;_-* &quot;-&quot;??_-;_-@_-"/>
    <numFmt numFmtId="168" formatCode="0.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8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7">
    <xf numFmtId="0" fontId="0" fillId="0" borderId="0" xfId="0"/>
    <xf numFmtId="0" fontId="0" fillId="33" borderId="0" xfId="0" applyFill="1"/>
    <xf numFmtId="164" fontId="0" fillId="0" borderId="0" xfId="0" applyNumberFormat="1"/>
    <xf numFmtId="0" fontId="0" fillId="34" borderId="0" xfId="0" applyFill="1"/>
    <xf numFmtId="165" fontId="0" fillId="0" borderId="0" xfId="1" applyNumberFormat="1" applyFont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0" borderId="0" xfId="0" applyFill="1"/>
    <xf numFmtId="0" fontId="18" fillId="38" borderId="0" xfId="0" applyFont="1" applyFill="1"/>
    <xf numFmtId="0" fontId="0" fillId="39" borderId="0" xfId="0" applyFill="1"/>
    <xf numFmtId="0" fontId="0" fillId="40" borderId="0" xfId="0" applyFill="1"/>
    <xf numFmtId="166" fontId="0" fillId="0" borderId="0" xfId="43" applyNumberFormat="1" applyFont="1"/>
    <xf numFmtId="166" fontId="0" fillId="33" borderId="0" xfId="43" applyNumberFormat="1" applyFont="1" applyFill="1"/>
    <xf numFmtId="166" fontId="0" fillId="34" borderId="0" xfId="43" applyNumberFormat="1" applyFont="1" applyFill="1"/>
    <xf numFmtId="166" fontId="0" fillId="35" borderId="0" xfId="43" applyNumberFormat="1" applyFont="1" applyFill="1"/>
    <xf numFmtId="43" fontId="0" fillId="0" borderId="0" xfId="43" applyNumberFormat="1" applyFont="1"/>
    <xf numFmtId="11" fontId="0" fillId="0" borderId="0" xfId="0" applyNumberFormat="1"/>
    <xf numFmtId="166" fontId="0" fillId="0" borderId="0" xfId="0" applyNumberFormat="1"/>
    <xf numFmtId="43" fontId="0" fillId="0" borderId="0" xfId="0" applyNumberFormat="1"/>
    <xf numFmtId="0" fontId="0" fillId="0" borderId="10" xfId="0" applyBorder="1"/>
    <xf numFmtId="167" fontId="0" fillId="0" borderId="10" xfId="43" applyNumberFormat="1" applyFont="1" applyBorder="1"/>
    <xf numFmtId="2" fontId="0" fillId="0" borderId="10" xfId="43" applyNumberFormat="1" applyFont="1" applyBorder="1"/>
    <xf numFmtId="0" fontId="16" fillId="0" borderId="10" xfId="0" applyFont="1" applyBorder="1"/>
    <xf numFmtId="168" fontId="0" fillId="0" borderId="0" xfId="0" applyNumberFormat="1"/>
    <xf numFmtId="1" fontId="0" fillId="0" borderId="10" xfId="0" applyNumberFormat="1" applyBorder="1"/>
    <xf numFmtId="168" fontId="0" fillId="0" borderId="10" xfId="0" applyNumberFormat="1" applyBorder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43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Magnitude -</a:t>
            </a:r>
            <a:r>
              <a:rPr lang="en-GB" baseline="0"/>
              <a:t> Colour Diagram for 12 stars in M71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 Measurements'!$K$57</c:f>
              <c:strCache>
                <c:ptCount val="1"/>
                <c:pt idx="0">
                  <c:v>Magnitude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 Measurements'!$L$56:$W$56</c:f>
              <c:numCache>
                <c:formatCode>General</c:formatCode>
                <c:ptCount val="12"/>
                <c:pt idx="0">
                  <c:v>-0.58996387477152634</c:v>
                </c:pt>
                <c:pt idx="1">
                  <c:v>-0.61261326522596971</c:v>
                </c:pt>
                <c:pt idx="2">
                  <c:v>-0.58529414677765734</c:v>
                </c:pt>
                <c:pt idx="3">
                  <c:v>-0.35190386170946164</c:v>
                </c:pt>
                <c:pt idx="4">
                  <c:v>-0.44096221536848113</c:v>
                </c:pt>
                <c:pt idx="5">
                  <c:v>-0.49381923410952933</c:v>
                </c:pt>
                <c:pt idx="6">
                  <c:v>-0.57644687240170578</c:v>
                </c:pt>
                <c:pt idx="7">
                  <c:v>-0.47016490240068043</c:v>
                </c:pt>
                <c:pt idx="8">
                  <c:v>-0.44292913078051166</c:v>
                </c:pt>
                <c:pt idx="9">
                  <c:v>-0.40617029848671882</c:v>
                </c:pt>
                <c:pt idx="10">
                  <c:v>-0.41766094156843847</c:v>
                </c:pt>
                <c:pt idx="11">
                  <c:v>-0.44926431294906477</c:v>
                </c:pt>
              </c:numCache>
            </c:numRef>
          </c:xVal>
          <c:yVal>
            <c:numRef>
              <c:f>'H Measurements'!$L$57:$W$57</c:f>
              <c:numCache>
                <c:formatCode>General</c:formatCode>
                <c:ptCount val="12"/>
                <c:pt idx="0">
                  <c:v>-11.434987017272801</c:v>
                </c:pt>
                <c:pt idx="1">
                  <c:v>-11.668933833672581</c:v>
                </c:pt>
                <c:pt idx="2">
                  <c:v>-11.633550530372537</c:v>
                </c:pt>
                <c:pt idx="3">
                  <c:v>-11.17432449100145</c:v>
                </c:pt>
                <c:pt idx="4">
                  <c:v>-11.070501593091493</c:v>
                </c:pt>
                <c:pt idx="5">
                  <c:v>-11.407612922716087</c:v>
                </c:pt>
                <c:pt idx="6">
                  <c:v>-12.255107610633614</c:v>
                </c:pt>
                <c:pt idx="7">
                  <c:v>-11.045800794893815</c:v>
                </c:pt>
                <c:pt idx="8">
                  <c:v>-12.097884286610904</c:v>
                </c:pt>
                <c:pt idx="9">
                  <c:v>-11.485265549989208</c:v>
                </c:pt>
                <c:pt idx="10">
                  <c:v>-11.212190284809473</c:v>
                </c:pt>
                <c:pt idx="11">
                  <c:v>-11.55277861979507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BB-4BBD-A48B-6A6074EF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351551"/>
        <c:axId val="530351967"/>
      </c:scatterChart>
      <c:valAx>
        <c:axId val="53035155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/>
                  <a:t>H-K Colour</a:t>
                </a:r>
                <a:r>
                  <a:rPr lang="en-GB" sz="1200" b="1" baseline="0"/>
                  <a:t> Index</a:t>
                </a:r>
                <a:endParaRPr lang="en-GB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b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51967"/>
        <c:crosses val="autoZero"/>
        <c:crossBetween val="midCat"/>
      </c:valAx>
      <c:valAx>
        <c:axId val="530351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noFill/>
                    </a:ln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ln>
                      <a:noFill/>
                    </a:ln>
                  </a:rPr>
                  <a:t>Instrumental 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noFill/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_ ;\-#,##0.0\ 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5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542925</xdr:colOff>
      <xdr:row>16</xdr:row>
      <xdr:rowOff>28576</xdr:rowOff>
    </xdr:from>
    <xdr:to>
      <xdr:col>33</xdr:col>
      <xdr:colOff>200025</xdr:colOff>
      <xdr:row>50</xdr:row>
      <xdr:rowOff>161926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AF6CB36-41A0-4E66-82D3-CC7C907CE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B582-B9F8-4B72-9836-7635E48304AE}">
  <dimension ref="A1:D13"/>
  <sheetViews>
    <sheetView tabSelected="1" workbookViewId="0">
      <selection activeCell="D3" sqref="D3"/>
    </sheetView>
  </sheetViews>
  <sheetFormatPr defaultRowHeight="15" x14ac:dyDescent="0.25"/>
  <cols>
    <col min="1" max="1" width="21.42578125" customWidth="1"/>
    <col min="3" max="3" width="13" customWidth="1"/>
  </cols>
  <sheetData>
    <row r="1" spans="1:4" x14ac:dyDescent="0.25">
      <c r="A1" t="s">
        <v>379</v>
      </c>
      <c r="B1" t="s">
        <v>296</v>
      </c>
      <c r="C1" t="s">
        <v>295</v>
      </c>
      <c r="D1" t="s">
        <v>378</v>
      </c>
    </row>
    <row r="2" spans="1:4" x14ac:dyDescent="0.25">
      <c r="A2" t="s">
        <v>366</v>
      </c>
      <c r="B2">
        <v>-0.58996387477152634</v>
      </c>
      <c r="C2">
        <v>-11.434987017272801</v>
      </c>
      <c r="D2">
        <v>3.8818832909791063E-3</v>
      </c>
    </row>
    <row r="3" spans="1:4" x14ac:dyDescent="0.25">
      <c r="A3" t="s">
        <v>367</v>
      </c>
      <c r="B3">
        <v>-0.61261326522596971</v>
      </c>
      <c r="C3">
        <v>-11.668933833672581</v>
      </c>
      <c r="D3">
        <v>3.1933856320422393E-3</v>
      </c>
    </row>
    <row r="4" spans="1:4" x14ac:dyDescent="0.25">
      <c r="A4" t="s">
        <v>368</v>
      </c>
      <c r="B4">
        <v>-0.58529414677765734</v>
      </c>
      <c r="C4">
        <v>-11.633550530372537</v>
      </c>
      <c r="D4">
        <v>3.2883531275988438E-3</v>
      </c>
    </row>
    <row r="5" spans="1:4" x14ac:dyDescent="0.25">
      <c r="A5" t="s">
        <v>369</v>
      </c>
      <c r="B5">
        <v>-0.35190386170946164</v>
      </c>
      <c r="C5">
        <v>-11.17432449100145</v>
      </c>
      <c r="D5">
        <v>4.8432545308151366E-3</v>
      </c>
    </row>
    <row r="6" spans="1:4" x14ac:dyDescent="0.25">
      <c r="A6" t="s">
        <v>370</v>
      </c>
      <c r="B6">
        <v>-0.44096221536848113</v>
      </c>
      <c r="C6">
        <v>-11.070501593091493</v>
      </c>
      <c r="D6">
        <v>5.294534536435901E-3</v>
      </c>
    </row>
    <row r="7" spans="1:4" x14ac:dyDescent="0.25">
      <c r="A7" t="s">
        <v>371</v>
      </c>
      <c r="B7">
        <v>-0.49381923410952933</v>
      </c>
      <c r="C7">
        <v>-11.407612922716087</v>
      </c>
      <c r="D7">
        <v>3.9724490154433518E-3</v>
      </c>
    </row>
    <row r="8" spans="1:4" x14ac:dyDescent="0.25">
      <c r="A8" t="s">
        <v>372</v>
      </c>
      <c r="B8">
        <v>-0.57644687240170578</v>
      </c>
      <c r="C8">
        <v>-12.255107610633614</v>
      </c>
      <c r="D8">
        <v>1.9919326679399153E-3</v>
      </c>
    </row>
    <row r="9" spans="1:4" x14ac:dyDescent="0.25">
      <c r="A9" t="s">
        <v>373</v>
      </c>
      <c r="B9">
        <v>-0.47016490240068043</v>
      </c>
      <c r="C9">
        <v>-11.045800794893815</v>
      </c>
      <c r="D9">
        <v>5.4083458454682598E-3</v>
      </c>
    </row>
    <row r="10" spans="1:4" x14ac:dyDescent="0.25">
      <c r="A10" t="s">
        <v>374</v>
      </c>
      <c r="B10">
        <v>-0.44292913078051166</v>
      </c>
      <c r="C10">
        <v>-12.097884286610904</v>
      </c>
      <c r="D10">
        <v>2.2546677156063668E-3</v>
      </c>
    </row>
    <row r="11" spans="1:4" x14ac:dyDescent="0.25">
      <c r="A11" t="s">
        <v>375</v>
      </c>
      <c r="B11">
        <v>-0.40617029848671882</v>
      </c>
      <c r="C11">
        <v>-11.485265549989208</v>
      </c>
      <c r="D11">
        <v>3.7213090355394155E-3</v>
      </c>
    </row>
    <row r="12" spans="1:4" x14ac:dyDescent="0.25">
      <c r="A12" t="s">
        <v>376</v>
      </c>
      <c r="B12">
        <v>-0.41766094156843847</v>
      </c>
      <c r="C12">
        <v>-11.212190284809473</v>
      </c>
      <c r="D12">
        <v>4.6890202254777358E-3</v>
      </c>
    </row>
    <row r="13" spans="1:4" x14ac:dyDescent="0.25">
      <c r="A13" t="s">
        <v>377</v>
      </c>
      <c r="B13">
        <v>-0.44926431294906477</v>
      </c>
      <c r="C13">
        <v>-11.55277861979507</v>
      </c>
      <c r="D13">
        <v>3.5169341736370277E-3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311"/>
  <sheetViews>
    <sheetView topLeftCell="S18" workbookViewId="0">
      <selection activeCell="K55" sqref="K55:W58"/>
    </sheetView>
  </sheetViews>
  <sheetFormatPr defaultRowHeight="15" x14ac:dyDescent="0.25"/>
  <cols>
    <col min="1" max="1" width="39.7109375" customWidth="1"/>
    <col min="3" max="3" width="9.140625" style="6"/>
    <col min="4" max="4" width="28.28515625" customWidth="1"/>
    <col min="8" max="8" width="23" customWidth="1"/>
    <col min="11" max="11" width="18.7109375" customWidth="1"/>
    <col min="26" max="26" width="17.5703125" customWidth="1"/>
    <col min="27" max="27" width="11.42578125" customWidth="1"/>
    <col min="28" max="28" width="16.5703125" hidden="1" customWidth="1"/>
    <col min="29" max="40" width="10.85546875" customWidth="1"/>
  </cols>
  <sheetData>
    <row r="1" spans="1:40" x14ac:dyDescent="0.25">
      <c r="A1" t="s">
        <v>0</v>
      </c>
      <c r="B1">
        <v>1</v>
      </c>
      <c r="D1" t="s">
        <v>0</v>
      </c>
      <c r="E1">
        <v>2</v>
      </c>
    </row>
    <row r="2" spans="1:40" x14ac:dyDescent="0.25">
      <c r="A2" t="s">
        <v>1</v>
      </c>
      <c r="B2" t="s">
        <v>297</v>
      </c>
      <c r="D2" t="s">
        <v>1</v>
      </c>
      <c r="E2" t="s">
        <v>292</v>
      </c>
      <c r="Z2">
        <v>12.3</v>
      </c>
    </row>
    <row r="3" spans="1:40" x14ac:dyDescent="0.25">
      <c r="A3" t="s">
        <v>2</v>
      </c>
      <c r="B3">
        <v>0</v>
      </c>
      <c r="D3" t="s">
        <v>2</v>
      </c>
      <c r="E3">
        <v>0</v>
      </c>
    </row>
    <row r="4" spans="1:40" x14ac:dyDescent="0.25">
      <c r="A4" t="s">
        <v>3</v>
      </c>
      <c r="B4">
        <v>0</v>
      </c>
      <c r="D4" t="s">
        <v>3</v>
      </c>
      <c r="E4">
        <v>0</v>
      </c>
    </row>
    <row r="5" spans="1:40" x14ac:dyDescent="0.25">
      <c r="A5" t="s">
        <v>4</v>
      </c>
      <c r="B5">
        <v>53594.935896000003</v>
      </c>
      <c r="D5" t="s">
        <v>4</v>
      </c>
      <c r="E5">
        <v>53594.852632000002</v>
      </c>
      <c r="I5">
        <v>19</v>
      </c>
      <c r="L5" t="s">
        <v>293</v>
      </c>
      <c r="T5" t="s">
        <v>298</v>
      </c>
      <c r="Y5">
        <v>25</v>
      </c>
    </row>
    <row r="6" spans="1:40" x14ac:dyDescent="0.25">
      <c r="A6" t="s">
        <v>5</v>
      </c>
      <c r="B6">
        <v>2453594.9358959999</v>
      </c>
      <c r="D6" t="s">
        <v>5</v>
      </c>
      <c r="E6">
        <v>2453594.8526320001</v>
      </c>
      <c r="L6">
        <v>1</v>
      </c>
      <c r="M6">
        <v>2</v>
      </c>
      <c r="N6">
        <v>3</v>
      </c>
      <c r="O6">
        <v>4</v>
      </c>
      <c r="P6">
        <v>5</v>
      </c>
      <c r="Q6">
        <v>6</v>
      </c>
      <c r="R6">
        <v>7</v>
      </c>
      <c r="S6" s="9">
        <v>8</v>
      </c>
      <c r="T6">
        <v>9</v>
      </c>
      <c r="U6">
        <v>10</v>
      </c>
      <c r="V6">
        <v>11</v>
      </c>
      <c r="W6">
        <v>12</v>
      </c>
      <c r="Z6" s="23" t="s">
        <v>293</v>
      </c>
      <c r="AA6" s="20"/>
      <c r="AB6" s="20">
        <v>0</v>
      </c>
      <c r="AC6" s="20">
        <v>1</v>
      </c>
      <c r="AD6" s="20">
        <v>2</v>
      </c>
      <c r="AE6" s="20">
        <v>3</v>
      </c>
      <c r="AF6" s="20">
        <v>4</v>
      </c>
      <c r="AG6" s="20">
        <v>5</v>
      </c>
      <c r="AH6" s="20">
        <v>6</v>
      </c>
      <c r="AI6" s="20">
        <v>7</v>
      </c>
      <c r="AJ6" s="20">
        <v>8</v>
      </c>
      <c r="AK6" s="20">
        <v>9</v>
      </c>
      <c r="AL6" s="20">
        <v>10</v>
      </c>
      <c r="AM6" s="20">
        <v>11</v>
      </c>
      <c r="AN6" s="20">
        <v>12</v>
      </c>
    </row>
    <row r="7" spans="1:40" x14ac:dyDescent="0.25">
      <c r="A7" t="s">
        <v>6</v>
      </c>
      <c r="B7" t="s">
        <v>289</v>
      </c>
      <c r="D7" t="s">
        <v>6</v>
      </c>
      <c r="E7" t="s">
        <v>289</v>
      </c>
      <c r="I7">
        <v>1</v>
      </c>
      <c r="J7">
        <v>1</v>
      </c>
      <c r="K7" t="s">
        <v>59</v>
      </c>
      <c r="L7">
        <f t="shared" ref="L7:L27" ca="1" si="0">OFFSET($B$60,($I7-1+(L$6-1)*$I$5),0,1,1)</f>
        <v>249.075445</v>
      </c>
      <c r="M7">
        <f t="shared" ref="M7:W13" ca="1" si="1">OFFSET($B$81,($J7-1+(M$6-2)*$I$5),0,1,1)</f>
        <v>478.97589199999999</v>
      </c>
      <c r="N7">
        <f t="shared" ca="1" si="1"/>
        <v>548.39510700000005</v>
      </c>
      <c r="O7">
        <f t="shared" ca="1" si="1"/>
        <v>780.62620600000002</v>
      </c>
      <c r="P7">
        <f t="shared" ca="1" si="1"/>
        <v>942.152061</v>
      </c>
      <c r="Q7">
        <f t="shared" ca="1" si="1"/>
        <v>880.94975599999998</v>
      </c>
      <c r="R7">
        <f t="shared" ca="1" si="1"/>
        <v>721.35706800000003</v>
      </c>
      <c r="S7">
        <f t="shared" ca="1" si="1"/>
        <v>377.18358499999999</v>
      </c>
      <c r="T7">
        <f t="shared" ca="1" si="1"/>
        <v>280.115836</v>
      </c>
      <c r="U7">
        <f t="shared" ca="1" si="1"/>
        <v>164.24261100000001</v>
      </c>
      <c r="V7">
        <f t="shared" ca="1" si="1"/>
        <v>699.68320600000004</v>
      </c>
      <c r="W7">
        <f t="shared" ca="1" si="1"/>
        <v>214.378399</v>
      </c>
      <c r="Y7">
        <v>5</v>
      </c>
      <c r="Z7" s="20" t="s">
        <v>290</v>
      </c>
      <c r="AA7" s="20" t="s">
        <v>355</v>
      </c>
      <c r="AB7" s="21" t="str">
        <f ca="1">OFFSET($L$7,$Y7-1,AB$6-1,1,1)</f>
        <v>RA_T1</v>
      </c>
      <c r="AC7" s="20" t="str" cm="1">
        <f t="array" aca="1" ref="AC7" ca="1">convert_degree(OFFSET($L$7,$Y7-1,AC$6-1,1,1))</f>
        <v>19° 53 ' 47"</v>
      </c>
      <c r="AD7" s="20" t="str" cm="1">
        <f t="array" aca="1" ref="AD7" ca="1">convert_degree(OFFSET($L$7,$Y7-1,AD$6-1,1,1))</f>
        <v>19° 53 ' 47"</v>
      </c>
      <c r="AE7" s="20" t="str" cm="1">
        <f t="array" aca="1" ref="AE7" ca="1">convert_degree(OFFSET($L$7,$Y7-1,AE$6-1,1,1))</f>
        <v>19° 53 ' 47"</v>
      </c>
      <c r="AF7" s="20" t="str" cm="1">
        <f t="array" aca="1" ref="AF7" ca="1">convert_degree(OFFSET($L$7,$Y7-1,AF$6-1,1,1))</f>
        <v>19° 53 ' 46"</v>
      </c>
      <c r="AG7" s="20" t="str" cm="1">
        <f t="array" aca="1" ref="AG7" ca="1">convert_degree(OFFSET($L$7,$Y7-1,AG$6-1,1,1))</f>
        <v>19° 53 ' 46"</v>
      </c>
      <c r="AH7" s="20" t="str" cm="1">
        <f t="array" aca="1" ref="AH7" ca="1">convert_degree(OFFSET($L$7,$Y7-1,AH$6-1,1,1))</f>
        <v>19° 53 ' 46"</v>
      </c>
      <c r="AI7" s="20" t="str" cm="1">
        <f t="array" aca="1" ref="AI7" ca="1">convert_degree(OFFSET($L$7,$Y7-1,AI$6-1,1,1))</f>
        <v>19° 53 ' 46"</v>
      </c>
      <c r="AJ7" s="20" t="str" cm="1">
        <f t="array" aca="1" ref="AJ7" ca="1">convert_degree(OFFSET($L$7,$Y7-1,AJ$6-1,1,1))</f>
        <v>19° 53 ' 47"</v>
      </c>
      <c r="AK7" s="20" t="str" cm="1">
        <f t="array" aca="1" ref="AK7" ca="1">convert_degree(OFFSET($L$7,$Y7-1,AK$6-1,1,1))</f>
        <v>19° 53 ' 47"</v>
      </c>
      <c r="AL7" s="20" t="str" cm="1">
        <f t="array" aca="1" ref="AL7" ca="1">convert_degree(OFFSET($L$7,$Y7-1,AL$6-1,1,1))</f>
        <v>19° 53 ' 47"</v>
      </c>
      <c r="AM7" s="20" t="str" cm="1">
        <f t="array" aca="1" ref="AM7" ca="1">convert_degree(OFFSET($L$7,$Y7-1,AM$6-1,1,1))</f>
        <v>19° 53 ' 47"</v>
      </c>
      <c r="AN7" s="20" t="str" cm="1">
        <f t="array" aca="1" ref="AN7" ca="1">convert_degree(OFFSET($L$7,$Y7-1,AN$6-1,1,1))</f>
        <v>19° 53 ' 47"</v>
      </c>
    </row>
    <row r="8" spans="1:40" x14ac:dyDescent="0.25">
      <c r="A8" t="s">
        <v>7</v>
      </c>
      <c r="B8" t="s">
        <v>289</v>
      </c>
      <c r="D8" t="s">
        <v>7</v>
      </c>
      <c r="E8" t="s">
        <v>289</v>
      </c>
      <c r="I8">
        <v>2</v>
      </c>
      <c r="J8">
        <v>2</v>
      </c>
      <c r="K8" t="s">
        <v>60</v>
      </c>
      <c r="L8">
        <f t="shared" ca="1" si="0"/>
        <v>462.28240299999999</v>
      </c>
      <c r="M8">
        <f t="shared" ca="1" si="1"/>
        <v>182.009052</v>
      </c>
      <c r="N8">
        <f t="shared" ca="1" si="1"/>
        <v>127.938667</v>
      </c>
      <c r="O8">
        <f t="shared" ca="1" si="1"/>
        <v>483.09778899999998</v>
      </c>
      <c r="P8">
        <f t="shared" ca="1" si="1"/>
        <v>461.30268799999999</v>
      </c>
      <c r="Q8">
        <f t="shared" ca="1" si="1"/>
        <v>307.49093900000003</v>
      </c>
      <c r="R8">
        <f t="shared" ca="1" si="1"/>
        <v>218.73693299999999</v>
      </c>
      <c r="S8">
        <f t="shared" ca="1" si="1"/>
        <v>807.26138700000001</v>
      </c>
      <c r="T8">
        <f t="shared" ca="1" si="1"/>
        <v>594.01674800000001</v>
      </c>
      <c r="U8">
        <f t="shared" ca="1" si="1"/>
        <v>648.64302299999997</v>
      </c>
      <c r="V8">
        <f t="shared" ca="1" si="1"/>
        <v>409.63833799999998</v>
      </c>
      <c r="W8">
        <f t="shared" ca="1" si="1"/>
        <v>753.33788400000003</v>
      </c>
      <c r="Y8">
        <v>6</v>
      </c>
      <c r="Z8" s="20" t="s">
        <v>291</v>
      </c>
      <c r="AA8" s="20" t="s">
        <v>355</v>
      </c>
      <c r="AB8" s="21" t="str">
        <f ca="1">OFFSET($L$7,$Y8-1,AB$6-1,1,1)</f>
        <v>DEC_T1</v>
      </c>
      <c r="AC8" s="20" t="str" cm="1">
        <f t="array" aca="1" ref="AC8" ca="1">convert_degree(OFFSET($L$7,$Y8-1,AC$6-1,1,1))</f>
        <v>18° 46 ' 43"</v>
      </c>
      <c r="AD8" s="20" t="str" cm="1">
        <f t="array" aca="1" ref="AD8" ca="1">convert_degree(OFFSET($L$7,$Y8-1,AD$6-1,1,1))</f>
        <v>18° 46 ' 49"</v>
      </c>
      <c r="AE8" s="20" t="str" cm="1">
        <f t="array" aca="1" ref="AE8" ca="1">convert_degree(OFFSET($L$7,$Y8-1,AE$6-1,1,1))</f>
        <v>18° 46 ' 50"</v>
      </c>
      <c r="AF8" s="20" t="str" cm="1">
        <f t="array" aca="1" ref="AF8" ca="1">convert_degree(OFFSET($L$7,$Y8-1,AF$6-1,1,1))</f>
        <v>18° 46 ' 42"</v>
      </c>
      <c r="AG8" s="20" t="str" cm="1">
        <f t="array" aca="1" ref="AG8" ca="1">convert_degree(OFFSET($L$7,$Y8-1,AG$6-1,1,1))</f>
        <v>18° 46 ' 43"</v>
      </c>
      <c r="AH8" s="20" t="str" cm="1">
        <f t="array" aca="1" ref="AH8" ca="1">convert_degree(OFFSET($L$7,$Y8-1,AH$6-1,1,1))</f>
        <v>18° 46 ' 46"</v>
      </c>
      <c r="AI8" s="20" t="str" cm="1">
        <f t="array" aca="1" ref="AI8" ca="1">convert_degree(OFFSET($L$7,$Y8-1,AI$6-1,1,1))</f>
        <v>18° 46 ' 48"</v>
      </c>
      <c r="AJ8" s="20" t="str" cm="1">
        <f t="array" aca="1" ref="AJ8" ca="1">convert_degree(OFFSET($L$7,$Y8-1,AJ$6-1,1,1))</f>
        <v>18° 46 ' 35"</v>
      </c>
      <c r="AK8" s="20" t="str" cm="1">
        <f t="array" aca="1" ref="AK8" ca="1">convert_degree(OFFSET($L$7,$Y8-1,AK$6-1,1,1))</f>
        <v>18° 46 ' 40"</v>
      </c>
      <c r="AL8" s="20" t="str" cm="1">
        <f t="array" aca="1" ref="AL8" ca="1">convert_degree(OFFSET($L$7,$Y8-1,AL$6-1,1,1))</f>
        <v>18° 46 ' 38"</v>
      </c>
      <c r="AM8" s="20" t="str" cm="1">
        <f t="array" aca="1" ref="AM8" ca="1">convert_degree(OFFSET($L$7,$Y8-1,AM$6-1,1,1))</f>
        <v>18° 46 ' 44"</v>
      </c>
      <c r="AN8" s="20" t="str" cm="1">
        <f t="array" aca="1" ref="AN8" ca="1">convert_degree(OFFSET($L$7,$Y8-1,AN$6-1,1,1))</f>
        <v>18° 46 ' 36"</v>
      </c>
    </row>
    <row r="9" spans="1:40" x14ac:dyDescent="0.25">
      <c r="A9" t="s">
        <v>8</v>
      </c>
      <c r="B9">
        <v>0</v>
      </c>
      <c r="D9" t="s">
        <v>8</v>
      </c>
      <c r="E9">
        <v>0</v>
      </c>
      <c r="I9">
        <v>3</v>
      </c>
      <c r="J9">
        <v>3</v>
      </c>
      <c r="K9" t="s">
        <v>61</v>
      </c>
      <c r="L9">
        <f t="shared" ca="1" si="0"/>
        <v>249.575445</v>
      </c>
      <c r="M9">
        <f t="shared" ca="1" si="1"/>
        <v>479.47589199999999</v>
      </c>
      <c r="N9">
        <f t="shared" ca="1" si="1"/>
        <v>548.89510700000005</v>
      </c>
      <c r="O9">
        <f t="shared" ca="1" si="1"/>
        <v>781.12620600000002</v>
      </c>
      <c r="P9">
        <f t="shared" ca="1" si="1"/>
        <v>942.652061</v>
      </c>
      <c r="Q9">
        <f t="shared" ca="1" si="1"/>
        <v>881.44975599999998</v>
      </c>
      <c r="R9">
        <f t="shared" ca="1" si="1"/>
        <v>721.85706800000003</v>
      </c>
      <c r="S9">
        <f t="shared" ca="1" si="1"/>
        <v>377.68358499999999</v>
      </c>
      <c r="T9">
        <f t="shared" ca="1" si="1"/>
        <v>280.615836</v>
      </c>
      <c r="U9">
        <f t="shared" ca="1" si="1"/>
        <v>164.74261100000001</v>
      </c>
      <c r="V9">
        <f t="shared" ca="1" si="1"/>
        <v>700.18320600000004</v>
      </c>
      <c r="W9">
        <f t="shared" ca="1" si="1"/>
        <v>214.878399</v>
      </c>
      <c r="Y9">
        <v>7</v>
      </c>
      <c r="Z9" s="20" t="s">
        <v>352</v>
      </c>
      <c r="AA9" s="20" t="s">
        <v>356</v>
      </c>
      <c r="AB9" s="21" t="str">
        <f ca="1">OFFSET($L$7,$Y9-1,AB$6-1,1,1)</f>
        <v>Source-Sky_T1</v>
      </c>
      <c r="AC9" s="21">
        <f ca="1">OFFSET($L$7,$Y9-1,AC$6-1,1,1)</f>
        <v>37496.851852</v>
      </c>
      <c r="AD9" s="21">
        <f t="shared" ref="AD9:AN9" ca="1" si="2">OFFSET($L$7,$Y9-1,AD$6-1,1,1)</f>
        <v>46512.912380000002</v>
      </c>
      <c r="AE9" s="21">
        <f t="shared" ca="1" si="2"/>
        <v>45021.526089999999</v>
      </c>
      <c r="AF9" s="21">
        <f t="shared" ca="1" si="2"/>
        <v>29493.736534</v>
      </c>
      <c r="AG9" s="21">
        <f t="shared" ca="1" si="2"/>
        <v>26804.063445</v>
      </c>
      <c r="AH9" s="21">
        <f t="shared" ca="1" si="2"/>
        <v>36563.281752000003</v>
      </c>
      <c r="AI9" s="21">
        <f t="shared" ca="1" si="2"/>
        <v>79807.378288000007</v>
      </c>
      <c r="AJ9" s="21">
        <f t="shared" ca="1" si="2"/>
        <v>26201.147859000001</v>
      </c>
      <c r="AK9" s="21">
        <f t="shared" ca="1" si="2"/>
        <v>69048.415127999993</v>
      </c>
      <c r="AL9" s="21">
        <f t="shared" ca="1" si="2"/>
        <v>39274.098046999999</v>
      </c>
      <c r="AM9" s="21">
        <f t="shared" ca="1" si="2"/>
        <v>30540.497961000001</v>
      </c>
      <c r="AN9" s="21">
        <f t="shared" ca="1" si="2"/>
        <v>41793.760332999998</v>
      </c>
    </row>
    <row r="10" spans="1:40" x14ac:dyDescent="0.25">
      <c r="A10" t="s">
        <v>9</v>
      </c>
      <c r="B10">
        <v>1.083</v>
      </c>
      <c r="D10" t="s">
        <v>9</v>
      </c>
      <c r="E10">
        <v>1.0049999999999999</v>
      </c>
      <c r="I10">
        <v>4</v>
      </c>
      <c r="J10">
        <v>4</v>
      </c>
      <c r="K10" t="s">
        <v>62</v>
      </c>
      <c r="L10">
        <f t="shared" ca="1" si="0"/>
        <v>562.21759699999996</v>
      </c>
      <c r="M10">
        <f t="shared" ca="1" si="1"/>
        <v>842.490948</v>
      </c>
      <c r="N10">
        <f t="shared" ca="1" si="1"/>
        <v>896.56133299999999</v>
      </c>
      <c r="O10">
        <f t="shared" ca="1" si="1"/>
        <v>541.40221099999997</v>
      </c>
      <c r="P10">
        <f t="shared" ca="1" si="1"/>
        <v>563.19731200000001</v>
      </c>
      <c r="Q10">
        <f t="shared" ca="1" si="1"/>
        <v>717.00906099999997</v>
      </c>
      <c r="R10">
        <f t="shared" ca="1" si="1"/>
        <v>805.76306699999998</v>
      </c>
      <c r="S10">
        <f t="shared" ca="1" si="1"/>
        <v>217.23861299999999</v>
      </c>
      <c r="T10">
        <f t="shared" ca="1" si="1"/>
        <v>430.48325199999999</v>
      </c>
      <c r="U10">
        <f t="shared" ca="1" si="1"/>
        <v>375.85697699999997</v>
      </c>
      <c r="V10">
        <f t="shared" ca="1" si="1"/>
        <v>614.86166200000002</v>
      </c>
      <c r="W10">
        <f t="shared" ca="1" si="1"/>
        <v>271.16211600000003</v>
      </c>
      <c r="Y10">
        <v>11</v>
      </c>
      <c r="Z10" s="20" t="s">
        <v>353</v>
      </c>
      <c r="AA10" s="20" t="s">
        <v>356</v>
      </c>
      <c r="AB10" s="21" t="str">
        <f ca="1">OFFSET($L$7,$Y10-1,AB$6-1,1,1)</f>
        <v>Peak_T1</v>
      </c>
      <c r="AC10" s="21">
        <f t="shared" ref="AC10:AN11" ca="1" si="3">OFFSET($L$7,$Y10-1,AC$6-1,1,1)</f>
        <v>3553</v>
      </c>
      <c r="AD10" s="21">
        <f t="shared" ca="1" si="3"/>
        <v>3662</v>
      </c>
      <c r="AE10" s="21">
        <f t="shared" ca="1" si="3"/>
        <v>2695</v>
      </c>
      <c r="AF10" s="21">
        <f t="shared" ca="1" si="3"/>
        <v>2238</v>
      </c>
      <c r="AG10" s="21">
        <f t="shared" ca="1" si="3"/>
        <v>1777</v>
      </c>
      <c r="AH10" s="21">
        <f t="shared" ca="1" si="3"/>
        <v>2156</v>
      </c>
      <c r="AI10" s="21">
        <f t="shared" ca="1" si="3"/>
        <v>4625</v>
      </c>
      <c r="AJ10" s="21">
        <f t="shared" ca="1" si="3"/>
        <v>1965</v>
      </c>
      <c r="AK10" s="21">
        <f t="shared" ca="1" si="3"/>
        <v>4297</v>
      </c>
      <c r="AL10" s="21">
        <f t="shared" ca="1" si="3"/>
        <v>2747</v>
      </c>
      <c r="AM10" s="21">
        <f t="shared" ca="1" si="3"/>
        <v>2503</v>
      </c>
      <c r="AN10" s="21">
        <f t="shared" ca="1" si="3"/>
        <v>2882</v>
      </c>
    </row>
    <row r="11" spans="1:40" x14ac:dyDescent="0.25">
      <c r="A11" t="s">
        <v>10</v>
      </c>
      <c r="B11" t="s">
        <v>289</v>
      </c>
      <c r="D11" t="s">
        <v>10</v>
      </c>
      <c r="E11" t="s">
        <v>289</v>
      </c>
      <c r="I11">
        <v>5</v>
      </c>
      <c r="J11">
        <v>5</v>
      </c>
      <c r="K11" t="s">
        <v>63</v>
      </c>
      <c r="L11">
        <f t="shared" ca="1" si="0"/>
        <v>19.896443999999999</v>
      </c>
      <c r="M11">
        <f t="shared" ca="1" si="1"/>
        <v>19.896346999999999</v>
      </c>
      <c r="N11">
        <f t="shared" ca="1" si="1"/>
        <v>19.896317</v>
      </c>
      <c r="O11">
        <f t="shared" ca="1" si="1"/>
        <v>19.896215999999999</v>
      </c>
      <c r="P11">
        <f t="shared" ca="1" si="1"/>
        <v>19.896146999999999</v>
      </c>
      <c r="Q11">
        <f t="shared" ca="1" si="1"/>
        <v>19.896173999999998</v>
      </c>
      <c r="R11">
        <f t="shared" ca="1" si="1"/>
        <v>19.896242000000001</v>
      </c>
      <c r="S11">
        <f t="shared" ca="1" si="1"/>
        <v>19.896388999999999</v>
      </c>
      <c r="T11">
        <f t="shared" ca="1" si="1"/>
        <v>19.896431</v>
      </c>
      <c r="U11">
        <f t="shared" ca="1" si="1"/>
        <v>19.89648</v>
      </c>
      <c r="V11">
        <f t="shared" ca="1" si="1"/>
        <v>19.896250999999999</v>
      </c>
      <c r="W11">
        <f t="shared" ca="1" si="1"/>
        <v>19.896457999999999</v>
      </c>
      <c r="Y11">
        <v>13</v>
      </c>
      <c r="Z11" s="20" t="s">
        <v>354</v>
      </c>
      <c r="AA11" s="20" t="s">
        <v>357</v>
      </c>
      <c r="AB11" s="21" t="str">
        <f ca="1">OFFSET($L$7,$Y11-1,AB$6-1,1,1)</f>
        <v>Sky/Pixel_T1</v>
      </c>
      <c r="AC11" s="21">
        <f t="shared" ca="1" si="3"/>
        <v>524.848117</v>
      </c>
      <c r="AD11" s="21">
        <f t="shared" ca="1" si="3"/>
        <v>501.07460900000001</v>
      </c>
      <c r="AE11" s="21">
        <f t="shared" ca="1" si="3"/>
        <v>482.05432100000002</v>
      </c>
      <c r="AF11" s="21">
        <f t="shared" ca="1" si="3"/>
        <v>534.97610499999996</v>
      </c>
      <c r="AG11" s="21">
        <f t="shared" ca="1" si="3"/>
        <v>516.52335300000004</v>
      </c>
      <c r="AH11" s="21">
        <f t="shared" ca="1" si="3"/>
        <v>512.37453600000003</v>
      </c>
      <c r="AI11" s="21">
        <f t="shared" ca="1" si="3"/>
        <v>500.76071400000001</v>
      </c>
      <c r="AJ11" s="21">
        <f t="shared" ca="1" si="3"/>
        <v>473.08827200000002</v>
      </c>
      <c r="AK11" s="21">
        <f t="shared" ca="1" si="3"/>
        <v>530.09888799999999</v>
      </c>
      <c r="AL11" s="21">
        <f t="shared" ca="1" si="3"/>
        <v>529.07398599999999</v>
      </c>
      <c r="AM11" s="21">
        <f t="shared" ca="1" si="3"/>
        <v>542.41212900000005</v>
      </c>
      <c r="AN11" s="21">
        <f t="shared" ca="1" si="3"/>
        <v>501.56888400000003</v>
      </c>
    </row>
    <row r="12" spans="1:40" x14ac:dyDescent="0.25">
      <c r="A12" t="s">
        <v>11</v>
      </c>
      <c r="B12" t="s">
        <v>289</v>
      </c>
      <c r="D12" t="s">
        <v>11</v>
      </c>
      <c r="E12" t="s">
        <v>289</v>
      </c>
      <c r="I12">
        <v>6</v>
      </c>
      <c r="J12">
        <v>6</v>
      </c>
      <c r="K12" t="s">
        <v>64</v>
      </c>
      <c r="L12">
        <f t="shared" ca="1" si="0"/>
        <v>18.778473000000002</v>
      </c>
      <c r="M12">
        <f t="shared" ca="1" si="1"/>
        <v>18.780175</v>
      </c>
      <c r="N12">
        <f t="shared" ca="1" si="1"/>
        <v>18.780504000000001</v>
      </c>
      <c r="O12">
        <f t="shared" ca="1" si="1"/>
        <v>18.778359999999999</v>
      </c>
      <c r="P12">
        <f t="shared" ca="1" si="1"/>
        <v>18.778496000000001</v>
      </c>
      <c r="Q12">
        <f t="shared" ca="1" si="1"/>
        <v>18.779426000000001</v>
      </c>
      <c r="R12">
        <f t="shared" ca="1" si="1"/>
        <v>18.779959000000002</v>
      </c>
      <c r="S12">
        <f t="shared" ca="1" si="1"/>
        <v>18.776387</v>
      </c>
      <c r="T12">
        <f t="shared" ca="1" si="1"/>
        <v>18.777676</v>
      </c>
      <c r="U12">
        <f t="shared" ca="1" si="1"/>
        <v>18.777342000000001</v>
      </c>
      <c r="V12">
        <f t="shared" ca="1" si="1"/>
        <v>18.778803</v>
      </c>
      <c r="W12">
        <f t="shared" ca="1" si="1"/>
        <v>18.776710000000001</v>
      </c>
      <c r="Z12" s="20"/>
      <c r="AA12" s="20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</row>
    <row r="13" spans="1:40" x14ac:dyDescent="0.25">
      <c r="A13" t="s">
        <v>12</v>
      </c>
      <c r="B13">
        <v>100.001</v>
      </c>
      <c r="D13" t="s">
        <v>12</v>
      </c>
      <c r="E13">
        <v>100.001</v>
      </c>
      <c r="I13" s="7">
        <v>7</v>
      </c>
      <c r="J13" s="7">
        <v>7</v>
      </c>
      <c r="K13" s="7" t="s">
        <v>65</v>
      </c>
      <c r="L13" s="7">
        <f t="shared" ca="1" si="0"/>
        <v>37496.851852</v>
      </c>
      <c r="M13" s="7">
        <f t="shared" ca="1" si="1"/>
        <v>46512.912380000002</v>
      </c>
      <c r="N13" s="7">
        <f t="shared" ca="1" si="1"/>
        <v>45021.526089999999</v>
      </c>
      <c r="O13" s="7">
        <f t="shared" ca="1" si="1"/>
        <v>29493.736534</v>
      </c>
      <c r="P13" s="7">
        <f t="shared" ca="1" si="1"/>
        <v>26804.063445</v>
      </c>
      <c r="Q13" s="7">
        <f t="shared" ca="1" si="1"/>
        <v>36563.281752000003</v>
      </c>
      <c r="R13" s="7">
        <f t="shared" ca="1" si="1"/>
        <v>79807.378288000007</v>
      </c>
      <c r="S13" s="7">
        <f t="shared" ca="1" si="1"/>
        <v>26201.147859000001</v>
      </c>
      <c r="T13" s="7">
        <f t="shared" ca="1" si="1"/>
        <v>69048.415127999993</v>
      </c>
      <c r="U13" s="7">
        <f t="shared" ca="1" si="1"/>
        <v>39274.098046999999</v>
      </c>
      <c r="V13" s="7">
        <f t="shared" ca="1" si="1"/>
        <v>30540.497961000001</v>
      </c>
      <c r="W13" s="7">
        <f t="shared" ca="1" si="1"/>
        <v>41793.760332999998</v>
      </c>
      <c r="Y13" s="8"/>
      <c r="Z13" s="23" t="s">
        <v>294</v>
      </c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</row>
    <row r="14" spans="1:40" x14ac:dyDescent="0.25">
      <c r="A14" t="s">
        <v>13</v>
      </c>
      <c r="B14" t="s">
        <v>289</v>
      </c>
      <c r="D14" t="s">
        <v>13</v>
      </c>
      <c r="E14" t="s">
        <v>289</v>
      </c>
      <c r="I14">
        <v>8</v>
      </c>
      <c r="K14" t="s">
        <v>66</v>
      </c>
      <c r="L14">
        <f t="shared" ca="1" si="0"/>
        <v>321.93416100000002</v>
      </c>
      <c r="M14">
        <f ca="1">M13/M18</f>
        <v>321.93416107660335</v>
      </c>
      <c r="N14">
        <f t="shared" ref="N14:W14" ca="1" si="4">N13/N18</f>
        <v>321.93416186166536</v>
      </c>
      <c r="O14">
        <f t="shared" ca="1" si="4"/>
        <v>321.93416216202411</v>
      </c>
      <c r="P14">
        <f t="shared" ca="1" si="4"/>
        <v>321.93416112478371</v>
      </c>
      <c r="Q14">
        <f t="shared" ca="1" si="4"/>
        <v>321.93416031817276</v>
      </c>
      <c r="R14">
        <f t="shared" ca="1" si="4"/>
        <v>321.93416058702684</v>
      </c>
      <c r="S14">
        <f t="shared" ca="1" si="4"/>
        <v>321.93416278944471</v>
      </c>
      <c r="T14">
        <f t="shared" ca="1" si="4"/>
        <v>321.93416146553494</v>
      </c>
      <c r="U14">
        <f t="shared" ca="1" si="4"/>
        <v>321.93415998907426</v>
      </c>
      <c r="V14">
        <f t="shared" ca="1" si="4"/>
        <v>321.93416114180155</v>
      </c>
      <c r="W14">
        <f t="shared" ca="1" si="4"/>
        <v>321.93416119020219</v>
      </c>
      <c r="Y14" s="8">
        <f>$Y$5+Y7</f>
        <v>30</v>
      </c>
      <c r="Z14" s="20" t="s">
        <v>290</v>
      </c>
      <c r="AA14" s="20" t="s">
        <v>355</v>
      </c>
      <c r="AB14" s="21" t="str">
        <f ca="1">OFFSET($L$7,$Y14-1,AB$6-1,1,1)</f>
        <v>RA_T1</v>
      </c>
      <c r="AC14" s="20" t="str" cm="1">
        <f t="array" aca="1" ref="AC14" ca="1">convert_degree(OFFSET($L$7,$Y14-1,AC$6-1,1,1))</f>
        <v>19° 53 ' 47"</v>
      </c>
      <c r="AD14" s="20" t="str" cm="1">
        <f t="array" aca="1" ref="AD14" ca="1">convert_degree(OFFSET($L$7,$Y14-1,AD$6-1,1,1))</f>
        <v>19° 53 ' 47"</v>
      </c>
      <c r="AE14" s="20" t="str" cm="1">
        <f t="array" aca="1" ref="AE14" ca="1">convert_degree(OFFSET($L$7,$Y14-1,AE$6-1,1,1))</f>
        <v>19° 53 ' 47"</v>
      </c>
      <c r="AF14" s="20" t="str" cm="1">
        <f t="array" aca="1" ref="AF14" ca="1">convert_degree(OFFSET($L$7,$Y14-1,AF$6-1,1,1))</f>
        <v>19° 53 ' 46"</v>
      </c>
      <c r="AG14" s="20" t="str" cm="1">
        <f t="array" aca="1" ref="AG14" ca="1">convert_degree(OFFSET($L$7,$Y14-1,AG$6-1,1,1))</f>
        <v>19° 53 ' 46"</v>
      </c>
      <c r="AH14" s="20" t="str" cm="1">
        <f t="array" aca="1" ref="AH14" ca="1">convert_degree(OFFSET($L$7,$Y14-1,AH$6-1,1,1))</f>
        <v>19° 53 ' 46"</v>
      </c>
      <c r="AI14" s="20" t="str" cm="1">
        <f t="array" aca="1" ref="AI14" ca="1">convert_degree(OFFSET($L$7,$Y14-1,AI$6-1,1,1))</f>
        <v>19° 53 ' 46"</v>
      </c>
      <c r="AJ14" s="20" t="str" cm="1">
        <f t="array" aca="1" ref="AJ14" ca="1">convert_degree(OFFSET($L$7,$Y14-1,AJ$6-1,1,1))</f>
        <v>19° 53 ' 47"</v>
      </c>
      <c r="AK14" s="20" t="str" cm="1">
        <f t="array" aca="1" ref="AK14" ca="1">convert_degree(OFFSET($L$7,$Y14-1,AK$6-1,1,1))</f>
        <v>19° 53 ' 47"</v>
      </c>
      <c r="AL14" s="20" t="str" cm="1">
        <f t="array" aca="1" ref="AL14" ca="1">convert_degree(OFFSET($L$7,$Y14-1,AL$6-1,1,1))</f>
        <v>19° 53 ' 47"</v>
      </c>
      <c r="AM14" s="20" t="str" cm="1">
        <f t="array" aca="1" ref="AM14" ca="1">convert_degree(OFFSET($L$7,$Y14-1,AM$6-1,1,1))</f>
        <v>19° 53 ' 47"</v>
      </c>
      <c r="AN14" s="20" t="str" cm="1">
        <f t="array" aca="1" ref="AN14" ca="1">convert_degree(OFFSET($L$7,$Y14-1,AN$6-1,1,1))</f>
        <v>19° 53 ' 47"</v>
      </c>
    </row>
    <row r="15" spans="1:40" x14ac:dyDescent="0.25">
      <c r="A15" t="s">
        <v>14</v>
      </c>
      <c r="B15" t="s">
        <v>289</v>
      </c>
      <c r="D15" t="s">
        <v>14</v>
      </c>
      <c r="E15" t="s">
        <v>289</v>
      </c>
      <c r="I15">
        <v>9</v>
      </c>
      <c r="J15">
        <v>8</v>
      </c>
      <c r="K15" t="s">
        <v>67</v>
      </c>
      <c r="L15">
        <f t="shared" ca="1" si="0"/>
        <v>160.97145499999999</v>
      </c>
      <c r="M15">
        <f t="shared" ref="M15:W19" ca="1" si="5">OFFSET($B$81,($J15-1+(M$6-2)*$I$5),0,1,1)</f>
        <v>160.373437</v>
      </c>
      <c r="N15">
        <f t="shared" ca="1" si="5"/>
        <v>158.30829399999999</v>
      </c>
      <c r="O15">
        <f t="shared" ca="1" si="5"/>
        <v>159.75188299999999</v>
      </c>
      <c r="P15">
        <f t="shared" ca="1" si="5"/>
        <v>156.99743000000001</v>
      </c>
      <c r="Q15">
        <f t="shared" ca="1" si="5"/>
        <v>159.65827400000001</v>
      </c>
      <c r="R15">
        <f t="shared" ca="1" si="5"/>
        <v>168.37312299999999</v>
      </c>
      <c r="S15" s="11">
        <f t="shared" ca="1" si="5"/>
        <v>152.74798100000001</v>
      </c>
      <c r="T15">
        <f t="shared" ca="1" si="5"/>
        <v>169.64771999999999</v>
      </c>
      <c r="U15">
        <f t="shared" ca="1" si="5"/>
        <v>161.53738100000001</v>
      </c>
      <c r="V15">
        <f t="shared" ca="1" si="5"/>
        <v>161.58116699999999</v>
      </c>
      <c r="W15">
        <f t="shared" ca="1" si="5"/>
        <v>158.977431</v>
      </c>
      <c r="Y15" s="8">
        <f t="shared" ref="Y15:Y18" si="6">$Y$5+Y8</f>
        <v>31</v>
      </c>
      <c r="Z15" s="20" t="s">
        <v>291</v>
      </c>
      <c r="AA15" s="20" t="s">
        <v>355</v>
      </c>
      <c r="AB15" s="21" t="str">
        <f ca="1">OFFSET($L$7,$Y15-1,AB$6-1,1,1)</f>
        <v>DEC_T1</v>
      </c>
      <c r="AC15" s="20" t="str" cm="1">
        <f t="array" aca="1" ref="AC15" ca="1">convert_degree(OFFSET($L$7,$Y15-1,AC$6-1,1,1))</f>
        <v>18° 46 ' 42"</v>
      </c>
      <c r="AD15" s="20" t="str" cm="1">
        <f t="array" aca="1" ref="AD15" ca="1">convert_degree(OFFSET($L$7,$Y15-1,AD$6-1,1,1))</f>
        <v>18° 46 ' 49"</v>
      </c>
      <c r="AE15" s="20" t="str" cm="1">
        <f t="array" aca="1" ref="AE15" ca="1">convert_degree(OFFSET($L$7,$Y15-1,AE$6-1,1,1))</f>
        <v>18° 46 ' 50"</v>
      </c>
      <c r="AF15" s="20" t="str" cm="1">
        <f t="array" aca="1" ref="AF15" ca="1">convert_degree(OFFSET($L$7,$Y15-1,AF$6-1,1,1))</f>
        <v>18° 46 ' 42"</v>
      </c>
      <c r="AG15" s="20" t="str" cm="1">
        <f t="array" aca="1" ref="AG15" ca="1">convert_degree(OFFSET($L$7,$Y15-1,AG$6-1,1,1))</f>
        <v>18° 46 ' 42"</v>
      </c>
      <c r="AH15" s="20" t="str" cm="1">
        <f t="array" aca="1" ref="AH15" ca="1">convert_degree(OFFSET($L$7,$Y15-1,AH$6-1,1,1))</f>
        <v>18° 46 ' 46"</v>
      </c>
      <c r="AI15" s="20" t="str" cm="1">
        <f t="array" aca="1" ref="AI15" ca="1">convert_degree(OFFSET($L$7,$Y15-1,AI$6-1,1,1))</f>
        <v>18° 46 ' 48"</v>
      </c>
      <c r="AJ15" s="20" t="str" cm="1">
        <f t="array" aca="1" ref="AJ15" ca="1">convert_degree(OFFSET($L$7,$Y15-1,AJ$6-1,1,1))</f>
        <v>18° 46 ' 35"</v>
      </c>
      <c r="AK15" s="20" t="str" cm="1">
        <f t="array" aca="1" ref="AK15" ca="1">convert_degree(OFFSET($L$7,$Y15-1,AK$6-1,1,1))</f>
        <v>18° 46 ' 40"</v>
      </c>
      <c r="AL15" s="20" t="str" cm="1">
        <f t="array" aca="1" ref="AL15" ca="1">convert_degree(OFFSET($L$7,$Y15-1,AL$6-1,1,1))</f>
        <v>18° 46 ' 38"</v>
      </c>
      <c r="AM15" s="20" t="str" cm="1">
        <f t="array" aca="1" ref="AM15" ca="1">convert_degree(OFFSET($L$7,$Y15-1,AM$6-1,1,1))</f>
        <v>18° 46 ' 44"</v>
      </c>
      <c r="AN15" s="20" t="str" cm="1">
        <f t="array" aca="1" ref="AN15" ca="1">convert_degree(OFFSET($L$7,$Y15-1,AN$6-1,1,1))</f>
        <v>18° 46 ' 36"</v>
      </c>
    </row>
    <row r="16" spans="1:40" x14ac:dyDescent="0.25">
      <c r="A16" t="s">
        <v>15</v>
      </c>
      <c r="B16">
        <v>3.6712199999999999</v>
      </c>
      <c r="D16" t="s">
        <v>15</v>
      </c>
      <c r="E16">
        <v>3.904935</v>
      </c>
      <c r="I16">
        <v>10</v>
      </c>
      <c r="J16">
        <v>9</v>
      </c>
      <c r="K16" t="s">
        <v>68</v>
      </c>
      <c r="L16">
        <f t="shared" ca="1" si="0"/>
        <v>232.941001</v>
      </c>
      <c r="M16">
        <f t="shared" ca="1" si="5"/>
        <v>290.02878099999998</v>
      </c>
      <c r="N16">
        <f t="shared" ca="1" si="5"/>
        <v>284.39145600000001</v>
      </c>
      <c r="O16">
        <f t="shared" ca="1" si="5"/>
        <v>184.622152</v>
      </c>
      <c r="P16">
        <f t="shared" ca="1" si="5"/>
        <v>170.72931399999999</v>
      </c>
      <c r="Q16">
        <f t="shared" ca="1" si="5"/>
        <v>229.00962699999999</v>
      </c>
      <c r="R16">
        <f t="shared" ca="1" si="5"/>
        <v>473.991198</v>
      </c>
      <c r="S16" s="10">
        <f t="shared" ca="1" si="5"/>
        <v>171.53187700000001</v>
      </c>
      <c r="T16">
        <f t="shared" ca="1" si="5"/>
        <v>407.01056999999997</v>
      </c>
      <c r="U16">
        <f t="shared" ca="1" si="5"/>
        <v>243.12699599999999</v>
      </c>
      <c r="V16">
        <f t="shared" ca="1" si="5"/>
        <v>189.010257</v>
      </c>
      <c r="W16">
        <f t="shared" ca="1" si="5"/>
        <v>262.89115399999997</v>
      </c>
      <c r="Y16" s="8">
        <f t="shared" si="6"/>
        <v>32</v>
      </c>
      <c r="Z16" s="20" t="s">
        <v>352</v>
      </c>
      <c r="AA16" s="20" t="s">
        <v>356</v>
      </c>
      <c r="AB16" s="21" t="str">
        <f ca="1">OFFSET($L$7,$Y16-1,AB$6-1,1,1)</f>
        <v>Source-Sky_T1</v>
      </c>
      <c r="AC16" s="21">
        <f ca="1">OFFSET($L$7,$Y16-1,AC$6-1,1,1)</f>
        <v>21777.561908</v>
      </c>
      <c r="AD16" s="21">
        <f t="shared" ref="AD16:AN16" ca="1" si="7">OFFSET($L$7,$Y16-1,AD$6-1,1,1)</f>
        <v>26456.246439999999</v>
      </c>
      <c r="AE16" s="21">
        <f t="shared" ca="1" si="7"/>
        <v>26260.473554</v>
      </c>
      <c r="AF16" s="21">
        <f t="shared" ca="1" si="7"/>
        <v>21328.889866000001</v>
      </c>
      <c r="AG16" s="21">
        <f t="shared" ca="1" si="7"/>
        <v>17857.298203999999</v>
      </c>
      <c r="AH16" s="21">
        <f t="shared" ca="1" si="7"/>
        <v>23201.575438</v>
      </c>
      <c r="AI16" s="21">
        <f t="shared" ca="1" si="7"/>
        <v>46931.484888999999</v>
      </c>
      <c r="AJ16" s="21">
        <f t="shared" ca="1" si="7"/>
        <v>16992.385687999998</v>
      </c>
      <c r="AK16" s="21">
        <f t="shared" ca="1" si="7"/>
        <v>45917.904696999998</v>
      </c>
      <c r="AL16" s="21">
        <f t="shared" ca="1" si="7"/>
        <v>27017.060828999998</v>
      </c>
      <c r="AM16" s="21">
        <f t="shared" ca="1" si="7"/>
        <v>20787.953528999999</v>
      </c>
      <c r="AN16" s="21">
        <f t="shared" ca="1" si="7"/>
        <v>27631.580237999999</v>
      </c>
    </row>
    <row r="17" spans="1:40" x14ac:dyDescent="0.25">
      <c r="A17" t="s">
        <v>16</v>
      </c>
      <c r="B17">
        <v>10.122985</v>
      </c>
      <c r="D17" t="s">
        <v>16</v>
      </c>
      <c r="E17">
        <v>9.0649339999999992</v>
      </c>
      <c r="I17">
        <v>11</v>
      </c>
      <c r="J17">
        <v>10</v>
      </c>
      <c r="K17" t="s">
        <v>69</v>
      </c>
      <c r="L17">
        <f t="shared" ca="1" si="0"/>
        <v>3553</v>
      </c>
      <c r="M17">
        <f t="shared" ca="1" si="5"/>
        <v>3662</v>
      </c>
      <c r="N17">
        <f t="shared" ca="1" si="5"/>
        <v>2695</v>
      </c>
      <c r="O17">
        <f t="shared" ca="1" si="5"/>
        <v>2238</v>
      </c>
      <c r="P17">
        <f t="shared" ca="1" si="5"/>
        <v>1777</v>
      </c>
      <c r="Q17">
        <f t="shared" ca="1" si="5"/>
        <v>2156</v>
      </c>
      <c r="R17">
        <f t="shared" ca="1" si="5"/>
        <v>4625</v>
      </c>
      <c r="S17">
        <f t="shared" ca="1" si="5"/>
        <v>1965</v>
      </c>
      <c r="T17">
        <f t="shared" ca="1" si="5"/>
        <v>4297</v>
      </c>
      <c r="U17">
        <f t="shared" ca="1" si="5"/>
        <v>2747</v>
      </c>
      <c r="V17">
        <f t="shared" ca="1" si="5"/>
        <v>2503</v>
      </c>
      <c r="W17">
        <f t="shared" ca="1" si="5"/>
        <v>2882</v>
      </c>
      <c r="Y17" s="8">
        <f t="shared" si="6"/>
        <v>36</v>
      </c>
      <c r="Z17" s="20" t="s">
        <v>353</v>
      </c>
      <c r="AA17" s="20" t="s">
        <v>356</v>
      </c>
      <c r="AB17" s="21" t="str">
        <f ca="1">OFFSET($L$7,$Y17-1,AB$6-1,1,1)</f>
        <v>Peak_T1</v>
      </c>
      <c r="AC17" s="21">
        <f t="shared" ref="AC17:AN18" ca="1" si="8">OFFSET($L$7,$Y17-1,AC$6-1,1,1)</f>
        <v>1847</v>
      </c>
      <c r="AD17" s="21">
        <f t="shared" ca="1" si="8"/>
        <v>2033</v>
      </c>
      <c r="AE17" s="21">
        <f t="shared" ca="1" si="8"/>
        <v>1897</v>
      </c>
      <c r="AF17" s="21">
        <f t="shared" ca="1" si="8"/>
        <v>1808</v>
      </c>
      <c r="AG17" s="21">
        <f t="shared" ca="1" si="8"/>
        <v>1532</v>
      </c>
      <c r="AH17" s="21">
        <f t="shared" ca="1" si="8"/>
        <v>1670</v>
      </c>
      <c r="AI17" s="21">
        <f t="shared" ca="1" si="8"/>
        <v>3039</v>
      </c>
      <c r="AJ17" s="21">
        <f t="shared" ca="1" si="8"/>
        <v>1472</v>
      </c>
      <c r="AK17" s="21">
        <f t="shared" ca="1" si="8"/>
        <v>3198</v>
      </c>
      <c r="AL17" s="21">
        <f t="shared" ca="1" si="8"/>
        <v>2172</v>
      </c>
      <c r="AM17" s="21">
        <f t="shared" ca="1" si="8"/>
        <v>1886</v>
      </c>
      <c r="AN17" s="21">
        <f t="shared" ca="1" si="8"/>
        <v>2141</v>
      </c>
    </row>
    <row r="18" spans="1:40" x14ac:dyDescent="0.25">
      <c r="A18" t="s">
        <v>17</v>
      </c>
      <c r="B18">
        <v>1.2</v>
      </c>
      <c r="D18" t="s">
        <v>17</v>
      </c>
      <c r="E18">
        <v>1.2</v>
      </c>
      <c r="I18">
        <v>12</v>
      </c>
      <c r="J18">
        <v>11</v>
      </c>
      <c r="K18" t="s">
        <v>70</v>
      </c>
      <c r="L18">
        <f t="shared" ca="1" si="0"/>
        <v>116.47366599999999</v>
      </c>
      <c r="M18">
        <f t="shared" ca="1" si="5"/>
        <v>144.47958</v>
      </c>
      <c r="N18">
        <f t="shared" ca="1" si="5"/>
        <v>139.84699800000001</v>
      </c>
      <c r="O18">
        <f t="shared" ca="1" si="5"/>
        <v>91.614187000000001</v>
      </c>
      <c r="P18">
        <f t="shared" ca="1" si="5"/>
        <v>83.259456999999998</v>
      </c>
      <c r="Q18">
        <f t="shared" ca="1" si="5"/>
        <v>113.573787</v>
      </c>
      <c r="R18">
        <f t="shared" ca="1" si="5"/>
        <v>247.899689</v>
      </c>
      <c r="S18">
        <f t="shared" ca="1" si="5"/>
        <v>81.386664999999994</v>
      </c>
      <c r="T18">
        <f t="shared" ca="1" si="5"/>
        <v>214.47992600000001</v>
      </c>
      <c r="U18">
        <f t="shared" ca="1" si="5"/>
        <v>121.994193</v>
      </c>
      <c r="V18">
        <f t="shared" ca="1" si="5"/>
        <v>94.865663999999995</v>
      </c>
      <c r="W18">
        <f t="shared" ca="1" si="5"/>
        <v>129.820831</v>
      </c>
      <c r="Y18" s="8">
        <f t="shared" si="6"/>
        <v>38</v>
      </c>
      <c r="Z18" s="20" t="s">
        <v>354</v>
      </c>
      <c r="AA18" s="20" t="s">
        <v>357</v>
      </c>
      <c r="AB18" s="21" t="str">
        <f ca="1">OFFSET($L$7,$Y18-1,AB$6-1,1,1)</f>
        <v>Sky/Pixel_T1</v>
      </c>
      <c r="AC18" s="21">
        <f t="shared" ca="1" si="8"/>
        <v>649.92383299999995</v>
      </c>
      <c r="AD18" s="21">
        <f t="shared" ca="1" si="8"/>
        <v>566.99011099999996</v>
      </c>
      <c r="AE18" s="21">
        <f t="shared" ca="1" si="8"/>
        <v>539.40784799999994</v>
      </c>
      <c r="AF18" s="21">
        <f t="shared" ca="1" si="8"/>
        <v>666.74788899999999</v>
      </c>
      <c r="AG18" s="21">
        <f t="shared" ca="1" si="8"/>
        <v>615.72816699999998</v>
      </c>
      <c r="AH18" s="21">
        <f t="shared" ca="1" si="8"/>
        <v>578.33133999999995</v>
      </c>
      <c r="AI18" s="21">
        <f t="shared" ca="1" si="8"/>
        <v>565.46445000000006</v>
      </c>
      <c r="AJ18" s="21">
        <f t="shared" ca="1" si="8"/>
        <v>569.63390700000002</v>
      </c>
      <c r="AK18" s="21">
        <f t="shared" ca="1" si="8"/>
        <v>658.23104699999999</v>
      </c>
      <c r="AL18" s="21">
        <f t="shared" ca="1" si="8"/>
        <v>658.48220900000001</v>
      </c>
      <c r="AM18" s="21">
        <f t="shared" ca="1" si="8"/>
        <v>656.09773499999994</v>
      </c>
      <c r="AN18" s="21">
        <f t="shared" ca="1" si="8"/>
        <v>609.507024</v>
      </c>
    </row>
    <row r="19" spans="1:40" x14ac:dyDescent="0.25">
      <c r="A19" t="s">
        <v>18</v>
      </c>
      <c r="B19">
        <v>10</v>
      </c>
      <c r="D19" t="s">
        <v>18</v>
      </c>
      <c r="E19">
        <v>10</v>
      </c>
      <c r="I19">
        <v>13</v>
      </c>
      <c r="J19">
        <v>12</v>
      </c>
      <c r="K19" t="s">
        <v>71</v>
      </c>
      <c r="L19">
        <f t="shared" ca="1" si="0"/>
        <v>524.848117</v>
      </c>
      <c r="M19">
        <f t="shared" ca="1" si="5"/>
        <v>501.07460900000001</v>
      </c>
      <c r="N19">
        <f t="shared" ca="1" si="5"/>
        <v>482.05432100000002</v>
      </c>
      <c r="O19">
        <f t="shared" ca="1" si="5"/>
        <v>534.97610499999996</v>
      </c>
      <c r="P19">
        <f t="shared" ca="1" si="5"/>
        <v>516.52335300000004</v>
      </c>
      <c r="Q19">
        <f t="shared" ca="1" si="5"/>
        <v>512.37453600000003</v>
      </c>
      <c r="R19">
        <f t="shared" ca="1" si="5"/>
        <v>500.76071400000001</v>
      </c>
      <c r="S19">
        <f t="shared" ca="1" si="5"/>
        <v>473.08827200000002</v>
      </c>
      <c r="T19">
        <f t="shared" ca="1" si="5"/>
        <v>530.09888799999999</v>
      </c>
      <c r="U19">
        <f t="shared" ca="1" si="5"/>
        <v>529.07398599999999</v>
      </c>
      <c r="V19">
        <f t="shared" ca="1" si="5"/>
        <v>542.41212900000005</v>
      </c>
      <c r="W19">
        <f t="shared" ca="1" si="5"/>
        <v>501.56888400000003</v>
      </c>
      <c r="Z19" s="20"/>
      <c r="AA19" s="20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</row>
    <row r="20" spans="1:40" x14ac:dyDescent="0.25">
      <c r="A20" t="s">
        <v>19</v>
      </c>
      <c r="B20">
        <v>18</v>
      </c>
      <c r="D20" t="s">
        <v>19</v>
      </c>
      <c r="E20">
        <v>18</v>
      </c>
      <c r="I20">
        <v>14</v>
      </c>
      <c r="K20" t="s">
        <v>72</v>
      </c>
      <c r="L20">
        <f t="shared" ca="1" si="0"/>
        <v>842</v>
      </c>
      <c r="M20">
        <f ca="1">L20</f>
        <v>842</v>
      </c>
      <c r="N20">
        <f t="shared" ref="N20:W20" ca="1" si="9">M20</f>
        <v>842</v>
      </c>
      <c r="O20">
        <f t="shared" ca="1" si="9"/>
        <v>842</v>
      </c>
      <c r="P20">
        <f t="shared" ca="1" si="9"/>
        <v>842</v>
      </c>
      <c r="Q20">
        <f t="shared" ca="1" si="9"/>
        <v>842</v>
      </c>
      <c r="R20">
        <f t="shared" ca="1" si="9"/>
        <v>842</v>
      </c>
      <c r="S20">
        <f t="shared" ca="1" si="9"/>
        <v>842</v>
      </c>
      <c r="T20">
        <f t="shared" ca="1" si="9"/>
        <v>842</v>
      </c>
      <c r="U20">
        <f t="shared" ca="1" si="9"/>
        <v>842</v>
      </c>
      <c r="V20">
        <f t="shared" ca="1" si="9"/>
        <v>842</v>
      </c>
      <c r="W20">
        <f t="shared" ca="1" si="9"/>
        <v>842</v>
      </c>
      <c r="Z20" s="23" t="s">
        <v>362</v>
      </c>
      <c r="AA20" s="20"/>
      <c r="AB20" s="21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</row>
    <row r="21" spans="1:40" x14ac:dyDescent="0.25">
      <c r="A21" t="s">
        <v>20</v>
      </c>
      <c r="B21">
        <v>25</v>
      </c>
      <c r="D21" t="s">
        <v>20</v>
      </c>
      <c r="E21">
        <v>25</v>
      </c>
      <c r="I21">
        <v>15</v>
      </c>
      <c r="J21">
        <v>13</v>
      </c>
      <c r="K21" t="s">
        <v>73</v>
      </c>
      <c r="L21">
        <f t="shared" ca="1" si="0"/>
        <v>4.6359329999999996</v>
      </c>
      <c r="M21">
        <f t="shared" ref="M21:W27" ca="1" si="10">OFFSET($B$81,($J21-1+(M$6-2)*$I$5),0,1,1)</f>
        <v>4.1393389999999997</v>
      </c>
      <c r="N21">
        <f t="shared" ca="1" si="10"/>
        <v>3.3927079999999998</v>
      </c>
      <c r="O21">
        <f t="shared" ca="1" si="10"/>
        <v>3.4391449999999999</v>
      </c>
      <c r="P21">
        <f t="shared" ca="1" si="10"/>
        <v>3.5998899999999998</v>
      </c>
      <c r="Q21">
        <f t="shared" ca="1" si="10"/>
        <v>3.4895109999999998</v>
      </c>
      <c r="R21">
        <f t="shared" ca="1" si="10"/>
        <v>3.638506</v>
      </c>
      <c r="S21">
        <f t="shared" ca="1" si="10"/>
        <v>3.43127</v>
      </c>
      <c r="T21">
        <f t="shared" ca="1" si="10"/>
        <v>3.4340649999999999</v>
      </c>
      <c r="U21">
        <f t="shared" ca="1" si="10"/>
        <v>3.5127999999999999</v>
      </c>
      <c r="V21">
        <f t="shared" ca="1" si="10"/>
        <v>3.5041370000000001</v>
      </c>
      <c r="W21">
        <f t="shared" ca="1" si="10"/>
        <v>3.8373349999999999</v>
      </c>
      <c r="Y21">
        <v>51</v>
      </c>
      <c r="Z21" s="20" t="s">
        <v>358</v>
      </c>
      <c r="AA21" s="20" t="s">
        <v>361</v>
      </c>
      <c r="AB21" s="21" t="str">
        <f t="shared" ref="AB21:AN21" ca="1" si="11">OFFSET($L$7,$Y21-1,AB$6-1,1,1)</f>
        <v>Magnitude</v>
      </c>
      <c r="AC21" s="22">
        <f t="shared" ca="1" si="11"/>
        <v>-11.434987017272801</v>
      </c>
      <c r="AD21" s="22">
        <f t="shared" ca="1" si="11"/>
        <v>-11.668933833672581</v>
      </c>
      <c r="AE21" s="22">
        <f t="shared" ca="1" si="11"/>
        <v>-11.633550530372537</v>
      </c>
      <c r="AF21" s="22">
        <f t="shared" ca="1" si="11"/>
        <v>-11.17432449100145</v>
      </c>
      <c r="AG21" s="22">
        <f t="shared" ca="1" si="11"/>
        <v>-11.070501593091493</v>
      </c>
      <c r="AH21" s="22">
        <f t="shared" ca="1" si="11"/>
        <v>-11.407612922716087</v>
      </c>
      <c r="AI21" s="22">
        <f t="shared" ca="1" si="11"/>
        <v>-12.255107610633614</v>
      </c>
      <c r="AJ21" s="22">
        <f t="shared" ca="1" si="11"/>
        <v>-11.045800794893815</v>
      </c>
      <c r="AK21" s="22">
        <f t="shared" ca="1" si="11"/>
        <v>-12.097884286610904</v>
      </c>
      <c r="AL21" s="22">
        <f t="shared" ca="1" si="11"/>
        <v>-11.485265549989208</v>
      </c>
      <c r="AM21" s="22">
        <f t="shared" ca="1" si="11"/>
        <v>-11.212190284809473</v>
      </c>
      <c r="AN21" s="22">
        <f t="shared" ca="1" si="11"/>
        <v>-11.55277861979507</v>
      </c>
    </row>
    <row r="22" spans="1:40" x14ac:dyDescent="0.25">
      <c r="A22" t="s">
        <v>21</v>
      </c>
      <c r="B22">
        <v>0</v>
      </c>
      <c r="D22" t="s">
        <v>21</v>
      </c>
      <c r="E22" s="17">
        <v>8728000000000000</v>
      </c>
      <c r="I22">
        <v>16</v>
      </c>
      <c r="J22">
        <v>14</v>
      </c>
      <c r="K22" t="s">
        <v>74</v>
      </c>
      <c r="L22">
        <f t="shared" ca="1" si="0"/>
        <v>9.3621569999999998</v>
      </c>
      <c r="M22">
        <f t="shared" ca="1" si="10"/>
        <v>9.2426410000000008</v>
      </c>
      <c r="N22">
        <f t="shared" ca="1" si="10"/>
        <v>8.534618</v>
      </c>
      <c r="O22">
        <f t="shared" ca="1" si="10"/>
        <v>7.5369400000000004</v>
      </c>
      <c r="P22">
        <f t="shared" ca="1" si="10"/>
        <v>8.2823709999999995</v>
      </c>
      <c r="Q22">
        <f t="shared" ca="1" si="10"/>
        <v>8.8323160000000005</v>
      </c>
      <c r="R22">
        <f t="shared" ca="1" si="10"/>
        <v>8.2371580000000009</v>
      </c>
      <c r="S22">
        <f t="shared" ca="1" si="10"/>
        <v>7.9951299999999996</v>
      </c>
      <c r="T22">
        <f t="shared" ca="1" si="10"/>
        <v>7.7793109999999999</v>
      </c>
      <c r="U22">
        <f t="shared" ca="1" si="10"/>
        <v>7.9346329999999998</v>
      </c>
      <c r="V22">
        <f t="shared" ca="1" si="10"/>
        <v>7.1807100000000004</v>
      </c>
      <c r="W22">
        <f t="shared" ca="1" si="10"/>
        <v>7.8611069999999996</v>
      </c>
      <c r="Y22">
        <v>50</v>
      </c>
      <c r="Z22" s="20" t="s">
        <v>360</v>
      </c>
      <c r="AA22" s="20" t="s">
        <v>361</v>
      </c>
      <c r="AB22" s="21" t="str">
        <f ca="1">OFFSET($L$7,$Y14-1,AB$6-1,1,1)</f>
        <v>RA_T1</v>
      </c>
      <c r="AC22" s="22">
        <f t="shared" ref="AC22:AN22" ca="1" si="12">OFFSET($L$7,$Y22-1,AC$6-1,1,1)</f>
        <v>-0.58996387477152634</v>
      </c>
      <c r="AD22" s="22">
        <f t="shared" ca="1" si="12"/>
        <v>-0.61261326522596971</v>
      </c>
      <c r="AE22" s="22">
        <f t="shared" ca="1" si="12"/>
        <v>-0.58529414677765734</v>
      </c>
      <c r="AF22" s="22">
        <f t="shared" ca="1" si="12"/>
        <v>-0.35190386170946164</v>
      </c>
      <c r="AG22" s="22">
        <f t="shared" ca="1" si="12"/>
        <v>-0.44096221536848113</v>
      </c>
      <c r="AH22" s="22">
        <f t="shared" ca="1" si="12"/>
        <v>-0.49381923410952933</v>
      </c>
      <c r="AI22" s="22">
        <f t="shared" ca="1" si="12"/>
        <v>-0.57644687240170578</v>
      </c>
      <c r="AJ22" s="22">
        <f t="shared" ca="1" si="12"/>
        <v>-0.47016490240068043</v>
      </c>
      <c r="AK22" s="22">
        <f t="shared" ca="1" si="12"/>
        <v>-0.44292913078051166</v>
      </c>
      <c r="AL22" s="22">
        <f t="shared" ca="1" si="12"/>
        <v>-0.40617029848671882</v>
      </c>
      <c r="AM22" s="22">
        <f t="shared" ca="1" si="12"/>
        <v>-0.41766094156843847</v>
      </c>
      <c r="AN22" s="22">
        <f t="shared" ca="1" si="12"/>
        <v>-0.44926431294906477</v>
      </c>
    </row>
    <row r="23" spans="1:40" x14ac:dyDescent="0.25">
      <c r="A23" t="s">
        <v>22</v>
      </c>
      <c r="B23">
        <v>0</v>
      </c>
      <c r="D23" t="s">
        <v>22</v>
      </c>
      <c r="E23" s="17">
        <v>1.06E+16</v>
      </c>
      <c r="I23">
        <v>17</v>
      </c>
      <c r="J23">
        <v>15</v>
      </c>
      <c r="K23" t="s">
        <v>75</v>
      </c>
      <c r="L23">
        <f t="shared" ca="1" si="0"/>
        <v>8.5507100000000005</v>
      </c>
      <c r="M23">
        <f t="shared" ca="1" si="10"/>
        <v>7.5859170000000002</v>
      </c>
      <c r="N23">
        <f t="shared" ca="1" si="10"/>
        <v>7.6678940000000004</v>
      </c>
      <c r="O23">
        <f t="shared" ca="1" si="10"/>
        <v>7.8598610000000004</v>
      </c>
      <c r="P23">
        <f t="shared" ca="1" si="10"/>
        <v>8.9999950000000002</v>
      </c>
      <c r="Q23">
        <f t="shared" ca="1" si="10"/>
        <v>9.3710369999999994</v>
      </c>
      <c r="R23">
        <f t="shared" ca="1" si="10"/>
        <v>7.8987249999999998</v>
      </c>
      <c r="S23">
        <f t="shared" ca="1" si="10"/>
        <v>7.8285999999999998</v>
      </c>
      <c r="T23">
        <f t="shared" ca="1" si="10"/>
        <v>7.7995450000000002</v>
      </c>
      <c r="U23">
        <f t="shared" ca="1" si="10"/>
        <v>8.2542410000000004</v>
      </c>
      <c r="V23">
        <f t="shared" ca="1" si="10"/>
        <v>7.2254120000000004</v>
      </c>
      <c r="W23">
        <f t="shared" ca="1" si="10"/>
        <v>8.0176230000000004</v>
      </c>
    </row>
    <row r="24" spans="1:40" x14ac:dyDescent="0.25">
      <c r="A24" t="s">
        <v>23</v>
      </c>
      <c r="B24">
        <v>0</v>
      </c>
      <c r="D24" t="s">
        <v>23</v>
      </c>
      <c r="E24" s="17">
        <v>1.052E+16</v>
      </c>
      <c r="I24">
        <v>18</v>
      </c>
      <c r="J24">
        <v>16</v>
      </c>
      <c r="K24" t="s">
        <v>76</v>
      </c>
      <c r="L24">
        <f t="shared" ca="1" si="0"/>
        <v>10.173603999999999</v>
      </c>
      <c r="M24">
        <f t="shared" ca="1" si="10"/>
        <v>10.899365</v>
      </c>
      <c r="N24">
        <f t="shared" ca="1" si="10"/>
        <v>9.4013419999999996</v>
      </c>
      <c r="O24">
        <f t="shared" ca="1" si="10"/>
        <v>7.2140180000000003</v>
      </c>
      <c r="P24">
        <f t="shared" ca="1" si="10"/>
        <v>7.5647469999999997</v>
      </c>
      <c r="Q24">
        <f t="shared" ca="1" si="10"/>
        <v>8.2935960000000009</v>
      </c>
      <c r="R24">
        <f t="shared" ca="1" si="10"/>
        <v>8.57559</v>
      </c>
      <c r="S24">
        <f t="shared" ca="1" si="10"/>
        <v>8.1616590000000002</v>
      </c>
      <c r="T24">
        <f t="shared" ca="1" si="10"/>
        <v>7.7590769999999996</v>
      </c>
      <c r="U24">
        <f t="shared" ca="1" si="10"/>
        <v>7.615024</v>
      </c>
      <c r="V24">
        <f t="shared" ca="1" si="10"/>
        <v>7.1360080000000004</v>
      </c>
      <c r="W24">
        <f t="shared" ca="1" si="10"/>
        <v>7.7045899999999996</v>
      </c>
      <c r="Z24" s="20" t="s">
        <v>363</v>
      </c>
      <c r="AA24" s="20"/>
      <c r="AB24" s="20"/>
      <c r="AC24" s="25">
        <f ca="1">AC9*Gain/SQRT(AC9*Gain+SN!$O$16+SN!$O$19+SN!$P$18)</f>
        <v>279.19345803642591</v>
      </c>
      <c r="AD24" s="25">
        <f ca="1">AD9*Gain/SQRT(AD9*Gain+SN!$O$16+SN!$O$19+SN!$P$18)</f>
        <v>339.49557603287536</v>
      </c>
      <c r="AE24" s="25">
        <f ca="1">AE9*Gain/SQRT(AE9*Gain+SN!$O$16+SN!$O$19+SN!$P$18)</f>
        <v>329.67653292596896</v>
      </c>
      <c r="AF24" s="25">
        <f ca="1">AF9*Gain/SQRT(AF9*Gain+SN!$O$16+SN!$O$19+SN!$P$18)</f>
        <v>223.67529333831419</v>
      </c>
      <c r="AG24" s="25">
        <f ca="1">AG9*Gain/SQRT(AG9*Gain+SN!$O$16+SN!$O$19+SN!$P$18)</f>
        <v>204.56776352638997</v>
      </c>
      <c r="AH24" s="25">
        <f ca="1">AH9*Gain/SQRT(AH9*Gain+SN!$O$16+SN!$O$19+SN!$P$18)</f>
        <v>272.81689134930963</v>
      </c>
      <c r="AI24" s="25">
        <f ca="1">AI9*Gain/SQRT(AI9*Gain+SN!$O$16+SN!$O$19+SN!$P$18)</f>
        <v>544.56687237605536</v>
      </c>
      <c r="AJ24" s="25">
        <f ca="1">AJ9*Gain/SQRT(AJ9*Gain+SN!$O$16+SN!$O$19+SN!$P$18)</f>
        <v>200.25240763368512</v>
      </c>
      <c r="AK24" s="25">
        <f ca="1">AK9*Gain/SQRT(AK9*Gain+SN!$O$16+SN!$O$19+SN!$P$18)</f>
        <v>481.05060163320161</v>
      </c>
      <c r="AL24" s="25">
        <f ca="1">AL9*Gain/SQRT(AL9*Gain+SN!$O$16+SN!$O$19+SN!$P$18)</f>
        <v>291.2621883248425</v>
      </c>
      <c r="AM24" s="25">
        <f ca="1">AM9*Gain/SQRT(AM9*Gain+SN!$O$16+SN!$O$19+SN!$P$18)</f>
        <v>231.0489889371832</v>
      </c>
      <c r="AN24" s="25">
        <f ca="1">AN9*Gain/SQRT(AN9*Gain+SN!$O$16+SN!$O$19+SN!$P$18)</f>
        <v>308.21693938405747</v>
      </c>
    </row>
    <row r="25" spans="1:40" x14ac:dyDescent="0.25">
      <c r="A25" t="s">
        <v>24</v>
      </c>
      <c r="B25">
        <v>0</v>
      </c>
      <c r="D25" t="s">
        <v>24</v>
      </c>
      <c r="E25" s="17">
        <v>8548000000000000</v>
      </c>
      <c r="I25">
        <v>19</v>
      </c>
      <c r="J25">
        <v>17</v>
      </c>
      <c r="K25" t="s">
        <v>77</v>
      </c>
      <c r="L25">
        <f t="shared" ca="1" si="0"/>
        <v>272.63898999999998</v>
      </c>
      <c r="M25">
        <f t="shared" ca="1" si="10"/>
        <v>71.983225000000004</v>
      </c>
      <c r="N25">
        <f t="shared" ca="1" si="10"/>
        <v>86.941036999999994</v>
      </c>
      <c r="O25">
        <f t="shared" ca="1" si="10"/>
        <v>352.19817599999999</v>
      </c>
      <c r="P25">
        <f t="shared" ca="1" si="10"/>
        <v>355.401274</v>
      </c>
      <c r="Q25">
        <f t="shared" ca="1" si="10"/>
        <v>333.04179199999999</v>
      </c>
      <c r="R25">
        <f t="shared" ca="1" si="10"/>
        <v>291.03682300000003</v>
      </c>
      <c r="S25">
        <f t="shared" ca="1" si="10"/>
        <v>280.23634600000003</v>
      </c>
      <c r="T25">
        <f t="shared" ca="1" si="10"/>
        <v>317.36404199999998</v>
      </c>
      <c r="U25">
        <f t="shared" ca="1" si="10"/>
        <v>338.36506000000003</v>
      </c>
      <c r="V25">
        <f t="shared" ca="1" si="10"/>
        <v>31.707089</v>
      </c>
      <c r="W25">
        <f t="shared" ca="1" si="10"/>
        <v>326.18956800000001</v>
      </c>
      <c r="Z25" s="20" t="s">
        <v>364</v>
      </c>
      <c r="AA25" s="20" t="s">
        <v>365</v>
      </c>
      <c r="AB25" s="20"/>
      <c r="AC25" s="26">
        <f ca="1">ABS(2.5*LOG10(1+(1/AC24)))</f>
        <v>3.8818832909791063E-3</v>
      </c>
      <c r="AD25" s="26">
        <f t="shared" ref="AD25:AN25" ca="1" si="13">ABS(2.5*LOG10(1+(1/AD24)))</f>
        <v>3.1933856320422393E-3</v>
      </c>
      <c r="AE25" s="26">
        <f t="shared" ca="1" si="13"/>
        <v>3.2883531275988438E-3</v>
      </c>
      <c r="AF25" s="26">
        <f t="shared" ca="1" si="13"/>
        <v>4.8432545308151366E-3</v>
      </c>
      <c r="AG25" s="26">
        <f t="shared" ca="1" si="13"/>
        <v>5.294534536435901E-3</v>
      </c>
      <c r="AH25" s="26">
        <f t="shared" ca="1" si="13"/>
        <v>3.9724490154433518E-3</v>
      </c>
      <c r="AI25" s="26">
        <f t="shared" ca="1" si="13"/>
        <v>1.9919326679399153E-3</v>
      </c>
      <c r="AJ25" s="26">
        <f t="shared" ca="1" si="13"/>
        <v>5.4083458454682598E-3</v>
      </c>
      <c r="AK25" s="26">
        <f t="shared" ca="1" si="13"/>
        <v>2.2546677156063668E-3</v>
      </c>
      <c r="AL25" s="26">
        <f t="shared" ca="1" si="13"/>
        <v>3.7213090355394155E-3</v>
      </c>
      <c r="AM25" s="26">
        <f t="shared" ca="1" si="13"/>
        <v>4.6890202254777358E-3</v>
      </c>
      <c r="AN25" s="26">
        <f t="shared" ca="1" si="13"/>
        <v>3.5169341736370277E-3</v>
      </c>
    </row>
    <row r="26" spans="1:40" x14ac:dyDescent="0.25">
      <c r="A26" t="s">
        <v>25</v>
      </c>
      <c r="B26">
        <v>0</v>
      </c>
      <c r="D26" t="s">
        <v>25</v>
      </c>
      <c r="E26" s="17">
        <v>7156000000000000</v>
      </c>
      <c r="I26">
        <v>20</v>
      </c>
      <c r="J26">
        <v>18</v>
      </c>
      <c r="K26" t="s">
        <v>78</v>
      </c>
      <c r="L26">
        <f t="shared" ca="1" si="0"/>
        <v>0.97014500000000004</v>
      </c>
      <c r="M26">
        <f t="shared" ca="1" si="10"/>
        <v>0.81551799999999997</v>
      </c>
      <c r="N26">
        <f t="shared" ca="1" si="10"/>
        <v>0.959121</v>
      </c>
      <c r="O26">
        <f t="shared" ca="1" si="10"/>
        <v>0.99211300000000002</v>
      </c>
      <c r="P26">
        <f t="shared" ca="1" si="10"/>
        <v>0.96964099999999998</v>
      </c>
      <c r="Q26">
        <f t="shared" ca="1" si="10"/>
        <v>0.95741699999999996</v>
      </c>
      <c r="R26">
        <f t="shared" ca="1" si="10"/>
        <v>0.98778600000000005</v>
      </c>
      <c r="S26">
        <f t="shared" ca="1" si="10"/>
        <v>0.99802400000000002</v>
      </c>
      <c r="T26">
        <f t="shared" ca="1" si="10"/>
        <v>0.99601700000000004</v>
      </c>
      <c r="U26">
        <f t="shared" ca="1" si="10"/>
        <v>0.98779899999999998</v>
      </c>
      <c r="V26">
        <f t="shared" ca="1" si="10"/>
        <v>0.99922599999999995</v>
      </c>
      <c r="W26">
        <f t="shared" ca="1" si="10"/>
        <v>0.98907</v>
      </c>
    </row>
    <row r="27" spans="1:40" x14ac:dyDescent="0.25">
      <c r="A27" t="s">
        <v>26</v>
      </c>
      <c r="B27">
        <v>0</v>
      </c>
      <c r="D27" t="s">
        <v>26</v>
      </c>
      <c r="E27" s="17">
        <v>9298000000000000</v>
      </c>
      <c r="I27">
        <v>21</v>
      </c>
      <c r="J27">
        <v>19</v>
      </c>
      <c r="K27" t="s">
        <v>79</v>
      </c>
      <c r="L27">
        <f t="shared" ca="1" si="0"/>
        <v>63401.420557999998</v>
      </c>
      <c r="M27">
        <f t="shared" ca="1" si="10"/>
        <v>88903.630208999995</v>
      </c>
      <c r="N27">
        <f t="shared" ca="1" si="10"/>
        <v>58192.449047000002</v>
      </c>
      <c r="O27">
        <f t="shared" ca="1" si="10"/>
        <v>36764.920550000003</v>
      </c>
      <c r="P27">
        <f t="shared" ca="1" si="10"/>
        <v>22800.548634999999</v>
      </c>
      <c r="Q27">
        <f t="shared" ca="1" si="10"/>
        <v>37459.712013999997</v>
      </c>
      <c r="R27">
        <f t="shared" ca="1" si="10"/>
        <v>206308.88282900001</v>
      </c>
      <c r="S27">
        <f t="shared" ca="1" si="10"/>
        <v>27554.772850000001</v>
      </c>
      <c r="T27">
        <f t="shared" ca="1" si="10"/>
        <v>201512.772455</v>
      </c>
      <c r="U27">
        <f t="shared" ca="1" si="10"/>
        <v>59140.257137000001</v>
      </c>
      <c r="V27">
        <f t="shared" ca="1" si="10"/>
        <v>42741.299299999999</v>
      </c>
      <c r="W27">
        <f t="shared" ca="1" si="10"/>
        <v>5.9854690000000002</v>
      </c>
    </row>
    <row r="28" spans="1:40" x14ac:dyDescent="0.25">
      <c r="A28" t="s">
        <v>27</v>
      </c>
      <c r="B28">
        <v>0</v>
      </c>
      <c r="D28" t="s">
        <v>27</v>
      </c>
      <c r="E28" s="17">
        <v>1.881E+16</v>
      </c>
    </row>
    <row r="29" spans="1:40" x14ac:dyDescent="0.25">
      <c r="A29" t="s">
        <v>28</v>
      </c>
      <c r="B29">
        <v>0</v>
      </c>
      <c r="D29" t="s">
        <v>28</v>
      </c>
      <c r="E29" s="17">
        <v>6810000000000000</v>
      </c>
      <c r="Y29" s="8"/>
    </row>
    <row r="30" spans="1:40" x14ac:dyDescent="0.25">
      <c r="A30" t="s">
        <v>29</v>
      </c>
      <c r="B30">
        <v>0</v>
      </c>
      <c r="D30" t="s">
        <v>29</v>
      </c>
      <c r="E30" s="17">
        <v>1.84E+16</v>
      </c>
      <c r="H30" s="8"/>
      <c r="I30" s="8"/>
      <c r="J30" s="8"/>
      <c r="K30" s="8"/>
      <c r="L30" s="8" t="s">
        <v>294</v>
      </c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</row>
    <row r="31" spans="1:40" x14ac:dyDescent="0.25">
      <c r="A31" t="s">
        <v>30</v>
      </c>
      <c r="B31">
        <v>0</v>
      </c>
      <c r="D31" t="s">
        <v>30</v>
      </c>
      <c r="E31" s="17">
        <v>1.083E+16</v>
      </c>
      <c r="H31" s="8"/>
      <c r="I31" s="8"/>
      <c r="J31" s="8"/>
      <c r="K31" s="8"/>
      <c r="L31" s="8">
        <v>1</v>
      </c>
      <c r="M31" s="8">
        <v>2</v>
      </c>
      <c r="N31" s="8">
        <v>3</v>
      </c>
      <c r="O31" s="8">
        <v>4</v>
      </c>
      <c r="P31" s="8">
        <v>5</v>
      </c>
      <c r="Q31" s="8">
        <v>6</v>
      </c>
      <c r="R31" s="8">
        <v>7</v>
      </c>
      <c r="S31" s="8">
        <v>8</v>
      </c>
      <c r="T31" s="8">
        <v>9</v>
      </c>
      <c r="U31" s="8">
        <v>10</v>
      </c>
      <c r="V31" s="8">
        <v>11</v>
      </c>
      <c r="W31" s="8">
        <v>12</v>
      </c>
      <c r="X31" s="8"/>
      <c r="Y31" s="8"/>
    </row>
    <row r="32" spans="1:40" x14ac:dyDescent="0.25">
      <c r="A32" t="s">
        <v>31</v>
      </c>
      <c r="B32">
        <v>0</v>
      </c>
      <c r="D32" t="s">
        <v>31</v>
      </c>
      <c r="E32" s="17">
        <v>8331000000000000</v>
      </c>
      <c r="H32" s="8"/>
      <c r="I32" s="8">
        <v>1</v>
      </c>
      <c r="J32" s="8">
        <v>1</v>
      </c>
      <c r="K32" s="8" t="s">
        <v>59</v>
      </c>
      <c r="L32" s="8">
        <f t="shared" ref="L32:L52" ca="1" si="14">OFFSET($E$60,($I32-1+(L$6-1)*$I$5),0,1,1)</f>
        <v>247.32426899999999</v>
      </c>
      <c r="M32" s="8">
        <f t="shared" ref="M32:W33" ca="1" si="15">OFFSET($E$81,($J32-1+(M$6-2)*$I$5),0,1,1)</f>
        <v>477.191372</v>
      </c>
      <c r="N32" s="8">
        <f t="shared" ca="1" si="15"/>
        <v>546.35154899999998</v>
      </c>
      <c r="O32" s="8">
        <f t="shared" ca="1" si="15"/>
        <v>778.48086599999999</v>
      </c>
      <c r="P32" s="8">
        <f t="shared" ca="1" si="15"/>
        <v>939.92691000000002</v>
      </c>
      <c r="Q32" s="8">
        <f t="shared" ca="1" si="15"/>
        <v>878.92189800000006</v>
      </c>
      <c r="R32" s="8">
        <f t="shared" ca="1" si="15"/>
        <v>719.30060100000003</v>
      </c>
      <c r="S32" s="8">
        <f t="shared" ca="1" si="15"/>
        <v>374.94713300000001</v>
      </c>
      <c r="T32" s="8">
        <f t="shared" ca="1" si="15"/>
        <v>277.94787400000001</v>
      </c>
      <c r="U32" s="8">
        <f t="shared" ca="1" si="15"/>
        <v>162.01570799999999</v>
      </c>
      <c r="V32" s="8">
        <f t="shared" ca="1" si="15"/>
        <v>697.56680400000005</v>
      </c>
      <c r="W32" s="8">
        <f t="shared" ca="1" si="15"/>
        <v>211.301163</v>
      </c>
      <c r="X32" s="8"/>
      <c r="Y32" s="8"/>
    </row>
    <row r="33" spans="1:29" x14ac:dyDescent="0.25">
      <c r="A33" t="s">
        <v>32</v>
      </c>
      <c r="B33">
        <v>0</v>
      </c>
      <c r="D33" t="s">
        <v>32</v>
      </c>
      <c r="E33" s="17">
        <v>1.107E+16</v>
      </c>
      <c r="H33" s="8"/>
      <c r="I33" s="8">
        <v>2</v>
      </c>
      <c r="J33" s="8">
        <v>2</v>
      </c>
      <c r="K33" s="8" t="s">
        <v>60</v>
      </c>
      <c r="L33" s="8">
        <f t="shared" ca="1" si="14"/>
        <v>460.12826100000001</v>
      </c>
      <c r="M33" s="8">
        <f t="shared" ca="1" si="15"/>
        <v>182.265762</v>
      </c>
      <c r="N33" s="8">
        <f t="shared" ca="1" si="15"/>
        <v>127.145882</v>
      </c>
      <c r="O33" s="8">
        <f t="shared" ca="1" si="15"/>
        <v>482.16485399999999</v>
      </c>
      <c r="P33" s="8">
        <f t="shared" ca="1" si="15"/>
        <v>460.45563700000002</v>
      </c>
      <c r="Q33" s="8">
        <f t="shared" ca="1" si="15"/>
        <v>306.81331599999999</v>
      </c>
      <c r="R33" s="8">
        <f t="shared" ca="1" si="15"/>
        <v>217.87232599999999</v>
      </c>
      <c r="S33" s="8">
        <f t="shared" ca="1" si="15"/>
        <v>806.10957699999994</v>
      </c>
      <c r="T33" s="8">
        <f t="shared" ca="1" si="15"/>
        <v>592.916607</v>
      </c>
      <c r="U33" s="8">
        <f t="shared" ca="1" si="15"/>
        <v>647.50280299999997</v>
      </c>
      <c r="V33" s="8">
        <f t="shared" ca="1" si="15"/>
        <v>408.83687800000001</v>
      </c>
      <c r="W33" s="8">
        <f t="shared" ca="1" si="15"/>
        <v>751.99703699999998</v>
      </c>
      <c r="X33" s="8"/>
      <c r="Y33" s="8"/>
    </row>
    <row r="34" spans="1:29" x14ac:dyDescent="0.25">
      <c r="A34" t="s">
        <v>33</v>
      </c>
      <c r="B34">
        <v>0</v>
      </c>
      <c r="D34" t="s">
        <v>33</v>
      </c>
      <c r="E34" s="17">
        <v>1.693E+21</v>
      </c>
      <c r="H34" s="8"/>
      <c r="I34" s="8">
        <v>3</v>
      </c>
      <c r="J34" s="8">
        <v>3</v>
      </c>
      <c r="K34" s="8" t="s">
        <v>61</v>
      </c>
      <c r="L34" s="8">
        <f t="shared" ca="1" si="14"/>
        <v>247.82426899999999</v>
      </c>
      <c r="M34" s="8">
        <f t="shared" ref="M34:P52" ca="1" si="16">OFFSET($E$81,($J34-1+(M$6-2)*$I$5),0,1,1)</f>
        <v>477.691372</v>
      </c>
      <c r="N34" s="8">
        <f t="shared" ca="1" si="16"/>
        <v>546.85154899999998</v>
      </c>
      <c r="O34" s="8">
        <f t="shared" ca="1" si="16"/>
        <v>778.98086599999999</v>
      </c>
      <c r="P34" s="8">
        <f t="shared" ca="1" si="16"/>
        <v>940.42691000000002</v>
      </c>
      <c r="Q34" s="8">
        <v>212.33</v>
      </c>
      <c r="R34" s="8">
        <f t="shared" ref="R34:W43" ca="1" si="17">OFFSET($E$81,($J34-1+(R$6-2)*$I$5),0,1,1)</f>
        <v>719.80060100000003</v>
      </c>
      <c r="S34" s="8">
        <f t="shared" ca="1" si="17"/>
        <v>375.44713300000001</v>
      </c>
      <c r="T34" s="8">
        <f t="shared" ca="1" si="17"/>
        <v>278.44787400000001</v>
      </c>
      <c r="U34" s="8">
        <f t="shared" ca="1" si="17"/>
        <v>162.51570799999999</v>
      </c>
      <c r="V34" s="8">
        <f t="shared" ca="1" si="17"/>
        <v>698.06680400000005</v>
      </c>
      <c r="W34" s="8">
        <f t="shared" ca="1" si="17"/>
        <v>211.801163</v>
      </c>
      <c r="X34" s="8"/>
      <c r="Y34" s="8"/>
      <c r="Z34" s="8"/>
      <c r="AA34" s="8"/>
      <c r="AB34" s="8"/>
      <c r="AC34" s="8"/>
    </row>
    <row r="35" spans="1:29" x14ac:dyDescent="0.25">
      <c r="A35" t="s">
        <v>34</v>
      </c>
      <c r="B35">
        <v>0</v>
      </c>
      <c r="D35" t="s">
        <v>34</v>
      </c>
      <c r="E35" s="17">
        <v>2.057E+21</v>
      </c>
      <c r="H35" s="8"/>
      <c r="I35" s="8">
        <v>4</v>
      </c>
      <c r="J35" s="8">
        <v>4</v>
      </c>
      <c r="K35" s="8" t="s">
        <v>62</v>
      </c>
      <c r="L35" s="8">
        <f t="shared" ca="1" si="14"/>
        <v>564.37173900000005</v>
      </c>
      <c r="M35" s="8">
        <f t="shared" ca="1" si="16"/>
        <v>842.234238</v>
      </c>
      <c r="N35" s="8">
        <f t="shared" ca="1" si="16"/>
        <v>897.35411799999997</v>
      </c>
      <c r="O35" s="8">
        <f t="shared" ca="1" si="16"/>
        <v>542.33514600000001</v>
      </c>
      <c r="P35" s="8">
        <f t="shared" ca="1" si="16"/>
        <v>564.04436299999998</v>
      </c>
      <c r="Q35" s="8">
        <v>271.64</v>
      </c>
      <c r="R35" s="8">
        <f t="shared" ca="1" si="17"/>
        <v>806.62767399999996</v>
      </c>
      <c r="S35" s="8">
        <f t="shared" ca="1" si="17"/>
        <v>218.390423</v>
      </c>
      <c r="T35" s="8">
        <f t="shared" ca="1" si="17"/>
        <v>431.583393</v>
      </c>
      <c r="U35" s="8">
        <f t="shared" ca="1" si="17"/>
        <v>376.99719700000003</v>
      </c>
      <c r="V35" s="8">
        <f t="shared" ca="1" si="17"/>
        <v>615.66312200000004</v>
      </c>
      <c r="W35" s="8">
        <f t="shared" ca="1" si="17"/>
        <v>272.50296300000002</v>
      </c>
      <c r="X35" s="8"/>
      <c r="Y35" s="8"/>
      <c r="Z35" s="8"/>
      <c r="AA35" s="8"/>
      <c r="AB35" s="8"/>
      <c r="AC35" s="8"/>
    </row>
    <row r="36" spans="1:29" x14ac:dyDescent="0.25">
      <c r="A36" t="s">
        <v>35</v>
      </c>
      <c r="B36">
        <v>0</v>
      </c>
      <c r="D36" t="s">
        <v>35</v>
      </c>
      <c r="E36" s="17">
        <v>2.041E+21</v>
      </c>
      <c r="H36" s="8"/>
      <c r="I36" s="8">
        <v>5</v>
      </c>
      <c r="J36" s="8">
        <v>5</v>
      </c>
      <c r="K36" s="8" t="s">
        <v>63</v>
      </c>
      <c r="L36" s="8">
        <f t="shared" ca="1" si="14"/>
        <v>19.896449</v>
      </c>
      <c r="M36" s="8">
        <f t="shared" ca="1" si="16"/>
        <v>19.896350999999999</v>
      </c>
      <c r="N36" s="8">
        <f t="shared" ca="1" si="16"/>
        <v>19.896322000000001</v>
      </c>
      <c r="O36" s="8">
        <f t="shared" ca="1" si="16"/>
        <v>19.896221000000001</v>
      </c>
      <c r="P36" s="8">
        <f t="shared" ca="1" si="16"/>
        <v>19.896152000000001</v>
      </c>
      <c r="Q36" s="8">
        <f t="shared" ref="Q36:Q45" ca="1" si="18">OFFSET($E$81,($J36-1+(Q$6-2)*$I$5),0,1,1)</f>
        <v>19.896179</v>
      </c>
      <c r="R36" s="8">
        <f t="shared" ca="1" si="17"/>
        <v>19.896246999999999</v>
      </c>
      <c r="S36" s="8">
        <f t="shared" ca="1" si="17"/>
        <v>19.896393</v>
      </c>
      <c r="T36" s="8">
        <f t="shared" ca="1" si="17"/>
        <v>19.896436000000001</v>
      </c>
      <c r="U36" s="8">
        <f t="shared" ca="1" si="17"/>
        <v>19.896484999999998</v>
      </c>
      <c r="V36" s="8">
        <f t="shared" ca="1" si="17"/>
        <v>19.896256000000001</v>
      </c>
      <c r="W36" s="8">
        <f t="shared" ca="1" si="17"/>
        <v>19.896464000000002</v>
      </c>
      <c r="X36" s="8"/>
      <c r="Y36" s="8"/>
      <c r="Z36" s="8"/>
      <c r="AA36" s="8"/>
      <c r="AB36" s="8"/>
      <c r="AC36" s="8"/>
    </row>
    <row r="37" spans="1:29" x14ac:dyDescent="0.25">
      <c r="A37" t="s">
        <v>36</v>
      </c>
      <c r="B37">
        <v>0</v>
      </c>
      <c r="D37" t="s">
        <v>36</v>
      </c>
      <c r="E37" s="17">
        <v>1.658E+21</v>
      </c>
      <c r="H37" s="8"/>
      <c r="I37" s="8">
        <v>6</v>
      </c>
      <c r="J37" s="8">
        <v>6</v>
      </c>
      <c r="K37" s="8" t="s">
        <v>64</v>
      </c>
      <c r="L37" s="8">
        <f t="shared" ca="1" si="14"/>
        <v>18.778455000000001</v>
      </c>
      <c r="M37" s="8">
        <f t="shared" ca="1" si="16"/>
        <v>18.780142999999999</v>
      </c>
      <c r="N37" s="8">
        <f t="shared" ca="1" si="16"/>
        <v>18.780477999999999</v>
      </c>
      <c r="O37" s="8">
        <f t="shared" ca="1" si="16"/>
        <v>18.778334999999998</v>
      </c>
      <c r="P37" s="8">
        <f t="shared" ca="1" si="16"/>
        <v>18.778471</v>
      </c>
      <c r="Q37" s="8">
        <f t="shared" ca="1" si="18"/>
        <v>18.779399000000002</v>
      </c>
      <c r="R37" s="8">
        <f t="shared" ca="1" si="17"/>
        <v>18.779934000000001</v>
      </c>
      <c r="S37" s="8">
        <f t="shared" ca="1" si="17"/>
        <v>18.776364000000001</v>
      </c>
      <c r="T37" s="8">
        <f t="shared" ca="1" si="17"/>
        <v>18.777652</v>
      </c>
      <c r="U37" s="8">
        <f t="shared" ca="1" si="17"/>
        <v>18.777318000000001</v>
      </c>
      <c r="V37" s="8">
        <f t="shared" ca="1" si="17"/>
        <v>18.778777000000002</v>
      </c>
      <c r="W37" s="8">
        <f t="shared" ca="1" si="17"/>
        <v>18.776686999999999</v>
      </c>
      <c r="X37" s="8"/>
      <c r="Y37" s="8"/>
      <c r="Z37" s="8"/>
      <c r="AA37" s="8"/>
      <c r="AB37" s="8"/>
      <c r="AC37" s="8"/>
    </row>
    <row r="38" spans="1:29" x14ac:dyDescent="0.25">
      <c r="A38" t="s">
        <v>37</v>
      </c>
      <c r="B38">
        <v>0</v>
      </c>
      <c r="D38" t="s">
        <v>37</v>
      </c>
      <c r="E38" s="17">
        <v>1.388E+21</v>
      </c>
      <c r="H38" s="8"/>
      <c r="I38" s="8">
        <v>7</v>
      </c>
      <c r="J38" s="8">
        <v>7</v>
      </c>
      <c r="K38" s="8" t="s">
        <v>65</v>
      </c>
      <c r="L38" s="8">
        <f t="shared" ca="1" si="14"/>
        <v>21777.561908</v>
      </c>
      <c r="M38" s="8">
        <f t="shared" ca="1" si="16"/>
        <v>26456.246439999999</v>
      </c>
      <c r="N38" s="8">
        <f t="shared" ca="1" si="16"/>
        <v>26260.473554</v>
      </c>
      <c r="O38" s="8">
        <f t="shared" ca="1" si="16"/>
        <v>21328.889866000001</v>
      </c>
      <c r="P38" s="8">
        <f t="shared" ca="1" si="16"/>
        <v>17857.298203999999</v>
      </c>
      <c r="Q38" s="8">
        <f t="shared" ca="1" si="18"/>
        <v>23201.575438</v>
      </c>
      <c r="R38" s="8">
        <f t="shared" ca="1" si="17"/>
        <v>46931.484888999999</v>
      </c>
      <c r="S38" s="8">
        <f t="shared" ca="1" si="17"/>
        <v>16992.385687999998</v>
      </c>
      <c r="T38" s="8">
        <f t="shared" ca="1" si="17"/>
        <v>45917.904696999998</v>
      </c>
      <c r="U38" s="8">
        <f t="shared" ca="1" si="17"/>
        <v>27017.060828999998</v>
      </c>
      <c r="V38" s="8">
        <f t="shared" ca="1" si="17"/>
        <v>20787.953528999999</v>
      </c>
      <c r="W38" s="8">
        <f t="shared" ca="1" si="17"/>
        <v>27631.580237999999</v>
      </c>
      <c r="X38" s="8"/>
      <c r="Y38" s="8"/>
      <c r="Z38" s="8"/>
      <c r="AA38" s="8"/>
      <c r="AB38" s="8"/>
      <c r="AC38" s="8"/>
    </row>
    <row r="39" spans="1:29" x14ac:dyDescent="0.25">
      <c r="A39" t="s">
        <v>38</v>
      </c>
      <c r="B39">
        <v>0</v>
      </c>
      <c r="D39" t="s">
        <v>38</v>
      </c>
      <c r="E39" s="17">
        <v>1.804E+21</v>
      </c>
      <c r="H39" s="8"/>
      <c r="I39" s="8">
        <v>8</v>
      </c>
      <c r="J39" s="8"/>
      <c r="K39" s="8" t="s">
        <v>66</v>
      </c>
      <c r="L39" s="8">
        <f t="shared" ca="1" si="14"/>
        <v>3.7470000000000003E-15</v>
      </c>
      <c r="M39" s="8">
        <f t="shared" ca="1" si="16"/>
        <v>27055.008934000001</v>
      </c>
      <c r="N39" s="8">
        <f t="shared" ca="1" si="16"/>
        <v>39938.867181000001</v>
      </c>
      <c r="O39" s="8">
        <f t="shared" ca="1" si="16"/>
        <v>33932.208774999999</v>
      </c>
      <c r="P39" s="8">
        <f t="shared" ca="1" si="16"/>
        <v>23337.869591999999</v>
      </c>
      <c r="Q39" s="8">
        <f t="shared" ca="1" si="18"/>
        <v>15945.054988</v>
      </c>
      <c r="R39" s="8">
        <f t="shared" ca="1" si="17"/>
        <v>23627.053758999999</v>
      </c>
      <c r="S39" s="8">
        <f t="shared" ca="1" si="17"/>
        <v>109801.726344</v>
      </c>
      <c r="T39" s="8">
        <f t="shared" ca="1" si="17"/>
        <v>15547.660961</v>
      </c>
      <c r="U39" s="8">
        <f t="shared" ca="1" si="17"/>
        <v>119897.113893</v>
      </c>
      <c r="V39" s="8">
        <f t="shared" ca="1" si="17"/>
        <v>37906.56755</v>
      </c>
      <c r="W39" s="8">
        <f t="shared" ca="1" si="17"/>
        <v>25336.791530999999</v>
      </c>
      <c r="X39" s="8"/>
      <c r="Y39" s="8"/>
      <c r="Z39" s="8"/>
      <c r="AA39" s="8"/>
      <c r="AB39" s="8"/>
      <c r="AC39" s="8"/>
    </row>
    <row r="40" spans="1:29" x14ac:dyDescent="0.25">
      <c r="A40" t="s">
        <v>39</v>
      </c>
      <c r="B40">
        <v>0</v>
      </c>
      <c r="D40" t="s">
        <v>39</v>
      </c>
      <c r="E40" s="17">
        <v>3.648E+21</v>
      </c>
      <c r="H40" s="8"/>
      <c r="I40" s="8">
        <v>9</v>
      </c>
      <c r="J40" s="8">
        <v>8</v>
      </c>
      <c r="K40" s="8" t="s">
        <v>67</v>
      </c>
      <c r="L40" s="8">
        <f t="shared" ca="1" si="14"/>
        <v>150.28739999999999</v>
      </c>
      <c r="M40" s="8">
        <f t="shared" ca="1" si="16"/>
        <v>143.880495</v>
      </c>
      <c r="N40" s="8">
        <f t="shared" ca="1" si="16"/>
        <v>140.56431900000001</v>
      </c>
      <c r="O40" s="8">
        <f t="shared" ca="1" si="16"/>
        <v>151.40079700000001</v>
      </c>
      <c r="P40" s="8">
        <f t="shared" ca="1" si="16"/>
        <v>146.04159899999999</v>
      </c>
      <c r="Q40" s="8">
        <f t="shared" ca="1" si="18"/>
        <v>143.53950800000001</v>
      </c>
      <c r="R40" s="8">
        <f t="shared" ca="1" si="17"/>
        <v>148.32576599999999</v>
      </c>
      <c r="S40" s="8">
        <f t="shared" ca="1" si="17"/>
        <v>141.34248600000001</v>
      </c>
      <c r="T40" s="8">
        <f t="shared" ca="1" si="17"/>
        <v>157.08251300000001</v>
      </c>
      <c r="U40" s="8">
        <f t="shared" ca="1" si="17"/>
        <v>152.45540099999999</v>
      </c>
      <c r="V40" s="8">
        <f t="shared" ca="1" si="17"/>
        <v>150.086476</v>
      </c>
      <c r="W40" s="8">
        <f t="shared" ca="1" si="17"/>
        <v>148.77070800000001</v>
      </c>
      <c r="X40" s="8"/>
      <c r="Y40" s="8"/>
      <c r="Z40" s="8"/>
      <c r="AA40" s="8"/>
      <c r="AB40" s="8"/>
      <c r="AC40" s="8"/>
    </row>
    <row r="41" spans="1:29" x14ac:dyDescent="0.25">
      <c r="A41" t="s">
        <v>40</v>
      </c>
      <c r="B41">
        <v>0</v>
      </c>
      <c r="D41" t="s">
        <v>40</v>
      </c>
      <c r="E41" s="17">
        <v>1.321E+21</v>
      </c>
      <c r="H41" s="8"/>
      <c r="I41" s="8">
        <v>10</v>
      </c>
      <c r="J41" s="8">
        <v>9</v>
      </c>
      <c r="K41" s="8" t="s">
        <v>68</v>
      </c>
      <c r="L41" s="8">
        <f t="shared" ca="1" si="14"/>
        <v>144.90610599999999</v>
      </c>
      <c r="M41" s="8">
        <f t="shared" ca="1" si="16"/>
        <v>183.876532</v>
      </c>
      <c r="N41" s="8">
        <f t="shared" ca="1" si="16"/>
        <v>186.82176000000001</v>
      </c>
      <c r="O41" s="8">
        <f t="shared" ca="1" si="16"/>
        <v>140.87699900000001</v>
      </c>
      <c r="P41" s="8">
        <f t="shared" ca="1" si="16"/>
        <v>122.27542200000001</v>
      </c>
      <c r="Q41" s="8">
        <f t="shared" ca="1" si="18"/>
        <v>161.63894999999999</v>
      </c>
      <c r="R41" s="8">
        <f t="shared" ca="1" si="17"/>
        <v>316.40817600000003</v>
      </c>
      <c r="S41" s="8">
        <f t="shared" ca="1" si="17"/>
        <v>120.221358</v>
      </c>
      <c r="T41" s="8">
        <f t="shared" ca="1" si="17"/>
        <v>292.31709999999998</v>
      </c>
      <c r="U41" s="8">
        <f t="shared" ca="1" si="17"/>
        <v>177.21288000000001</v>
      </c>
      <c r="V41" s="8">
        <f t="shared" ca="1" si="17"/>
        <v>138.506507</v>
      </c>
      <c r="W41" s="8">
        <f t="shared" ca="1" si="17"/>
        <v>185.73266699999999</v>
      </c>
      <c r="X41" s="8"/>
      <c r="Y41" s="8"/>
      <c r="Z41" s="8"/>
      <c r="AA41" s="8"/>
      <c r="AB41" s="8"/>
      <c r="AC41" s="8"/>
    </row>
    <row r="42" spans="1:29" x14ac:dyDescent="0.25">
      <c r="A42" t="s">
        <v>41</v>
      </c>
      <c r="B42">
        <v>0</v>
      </c>
      <c r="D42" t="s">
        <v>41</v>
      </c>
      <c r="E42" s="17">
        <v>3.5689999999999997E+21</v>
      </c>
      <c r="H42" s="8"/>
      <c r="I42" s="8">
        <v>11</v>
      </c>
      <c r="J42" s="8">
        <v>10</v>
      </c>
      <c r="K42" s="8" t="s">
        <v>69</v>
      </c>
      <c r="L42" s="8">
        <f t="shared" ca="1" si="14"/>
        <v>1847</v>
      </c>
      <c r="M42" s="8">
        <f t="shared" ca="1" si="16"/>
        <v>2033</v>
      </c>
      <c r="N42" s="8">
        <f t="shared" ca="1" si="16"/>
        <v>1897</v>
      </c>
      <c r="O42" s="8">
        <f t="shared" ca="1" si="16"/>
        <v>1808</v>
      </c>
      <c r="P42" s="8">
        <f t="shared" ca="1" si="16"/>
        <v>1532</v>
      </c>
      <c r="Q42" s="8">
        <f t="shared" ca="1" si="18"/>
        <v>1670</v>
      </c>
      <c r="R42" s="8">
        <f t="shared" ca="1" si="17"/>
        <v>3039</v>
      </c>
      <c r="S42" s="8">
        <f t="shared" ca="1" si="17"/>
        <v>1472</v>
      </c>
      <c r="T42" s="8">
        <f t="shared" ca="1" si="17"/>
        <v>3198</v>
      </c>
      <c r="U42" s="8">
        <f t="shared" ca="1" si="17"/>
        <v>2172</v>
      </c>
      <c r="V42" s="8">
        <f t="shared" ca="1" si="17"/>
        <v>1886</v>
      </c>
      <c r="W42" s="8">
        <f t="shared" ca="1" si="17"/>
        <v>2141</v>
      </c>
      <c r="X42" s="8"/>
      <c r="Y42" s="8"/>
      <c r="Z42" s="8"/>
      <c r="AA42" s="8"/>
      <c r="AB42" s="8"/>
      <c r="AC42" s="8"/>
    </row>
    <row r="43" spans="1:29" x14ac:dyDescent="0.25">
      <c r="A43" t="s">
        <v>42</v>
      </c>
      <c r="B43">
        <v>0</v>
      </c>
      <c r="D43" t="s">
        <v>42</v>
      </c>
      <c r="E43" s="17">
        <v>2.1E+21</v>
      </c>
      <c r="H43" s="8"/>
      <c r="I43" s="8">
        <v>12</v>
      </c>
      <c r="J43" s="8">
        <v>11</v>
      </c>
      <c r="K43" s="8" t="s">
        <v>70</v>
      </c>
      <c r="L43" s="8">
        <f t="shared" ca="1" si="14"/>
        <v>84.358740999999995</v>
      </c>
      <c r="M43" s="8">
        <f t="shared" ca="1" si="16"/>
        <v>102.482347</v>
      </c>
      <c r="N43" s="8">
        <f t="shared" ca="1" si="16"/>
        <v>101.72399</v>
      </c>
      <c r="O43" s="8">
        <f t="shared" ca="1" si="16"/>
        <v>82.620740999999995</v>
      </c>
      <c r="P43" s="8">
        <f t="shared" ca="1" si="16"/>
        <v>69.172995999999998</v>
      </c>
      <c r="Q43" s="8">
        <f t="shared" ca="1" si="18"/>
        <v>89.874876999999998</v>
      </c>
      <c r="R43" s="8">
        <f t="shared" ca="1" si="17"/>
        <v>181.79633699999999</v>
      </c>
      <c r="S43" s="8">
        <f t="shared" ca="1" si="17"/>
        <v>65.822624000000005</v>
      </c>
      <c r="T43" s="8">
        <f t="shared" ca="1" si="17"/>
        <v>177.87007800000001</v>
      </c>
      <c r="U43" s="8">
        <f t="shared" ca="1" si="17"/>
        <v>104.654748</v>
      </c>
      <c r="V43" s="8">
        <f t="shared" ca="1" si="17"/>
        <v>80.525340999999997</v>
      </c>
      <c r="W43" s="8">
        <f t="shared" ca="1" si="17"/>
        <v>107.035183</v>
      </c>
      <c r="X43" s="8"/>
      <c r="Y43" s="8"/>
      <c r="Z43" s="8"/>
      <c r="AA43" s="8"/>
      <c r="AB43" s="8"/>
      <c r="AC43" s="8"/>
    </row>
    <row r="44" spans="1:29" x14ac:dyDescent="0.25">
      <c r="A44" t="s">
        <v>43</v>
      </c>
      <c r="B44">
        <v>0</v>
      </c>
      <c r="D44" t="s">
        <v>43</v>
      </c>
      <c r="E44" s="17">
        <v>1.616E+21</v>
      </c>
      <c r="H44" s="8"/>
      <c r="I44" s="8">
        <v>13</v>
      </c>
      <c r="J44" s="8">
        <v>12</v>
      </c>
      <c r="K44" s="8" t="s">
        <v>71</v>
      </c>
      <c r="L44" s="8">
        <f t="shared" ca="1" si="14"/>
        <v>649.92383299999995</v>
      </c>
      <c r="M44" s="8">
        <f t="shared" ca="1" si="16"/>
        <v>566.99011099999996</v>
      </c>
      <c r="N44" s="8">
        <f t="shared" ca="1" si="16"/>
        <v>539.40784799999994</v>
      </c>
      <c r="O44" s="8">
        <f t="shared" ca="1" si="16"/>
        <v>666.74788899999999</v>
      </c>
      <c r="P44" s="8">
        <f t="shared" ca="1" si="16"/>
        <v>615.72816699999998</v>
      </c>
      <c r="Q44" s="8">
        <f t="shared" ca="1" si="18"/>
        <v>578.33133999999995</v>
      </c>
      <c r="R44" s="8">
        <f t="shared" ref="R44:W52" ca="1" si="19">OFFSET($E$81,($J44-1+(R$6-2)*$I$5),0,1,1)</f>
        <v>565.46445000000006</v>
      </c>
      <c r="S44" s="8">
        <f t="shared" ca="1" si="19"/>
        <v>569.63390700000002</v>
      </c>
      <c r="T44" s="8">
        <f t="shared" ca="1" si="19"/>
        <v>658.23104699999999</v>
      </c>
      <c r="U44" s="8">
        <f t="shared" ca="1" si="19"/>
        <v>658.48220900000001</v>
      </c>
      <c r="V44" s="8">
        <f t="shared" ca="1" si="19"/>
        <v>656.09773499999994</v>
      </c>
      <c r="W44" s="8">
        <f t="shared" ca="1" si="19"/>
        <v>609.507024</v>
      </c>
      <c r="X44" s="8"/>
      <c r="Y44" s="8"/>
      <c r="Z44" s="8"/>
      <c r="AA44" s="8"/>
      <c r="AB44" s="8"/>
      <c r="AC44" s="8"/>
    </row>
    <row r="45" spans="1:29" x14ac:dyDescent="0.25">
      <c r="A45" t="s">
        <v>44</v>
      </c>
      <c r="B45">
        <v>0</v>
      </c>
      <c r="D45" t="s">
        <v>44</v>
      </c>
      <c r="E45" s="17">
        <v>2.148E+21</v>
      </c>
      <c r="H45" s="8"/>
      <c r="I45" s="8">
        <v>14</v>
      </c>
      <c r="J45" s="8"/>
      <c r="K45" s="8" t="s">
        <v>72</v>
      </c>
      <c r="L45" s="8">
        <f t="shared" ca="1" si="14"/>
        <v>0</v>
      </c>
      <c r="M45" s="8">
        <f t="shared" ca="1" si="16"/>
        <v>27055.008934000001</v>
      </c>
      <c r="N45" s="8">
        <f t="shared" ca="1" si="16"/>
        <v>39938.867181000001</v>
      </c>
      <c r="O45" s="8">
        <f t="shared" ca="1" si="16"/>
        <v>33932.208774999999</v>
      </c>
      <c r="P45" s="8">
        <f t="shared" ca="1" si="16"/>
        <v>23337.869591999999</v>
      </c>
      <c r="Q45" s="8">
        <f t="shared" ca="1" si="18"/>
        <v>15945.054988</v>
      </c>
      <c r="R45" s="8">
        <f t="shared" ca="1" si="19"/>
        <v>23627.053758999999</v>
      </c>
      <c r="S45" s="8">
        <f t="shared" ca="1" si="19"/>
        <v>109801.726344</v>
      </c>
      <c r="T45" s="8">
        <f t="shared" ca="1" si="19"/>
        <v>15547.660961</v>
      </c>
      <c r="U45" s="8">
        <f t="shared" ca="1" si="19"/>
        <v>119897.113893</v>
      </c>
      <c r="V45" s="8">
        <f t="shared" ca="1" si="19"/>
        <v>37906.56755</v>
      </c>
      <c r="W45" s="8">
        <f t="shared" ca="1" si="19"/>
        <v>25336.791530999999</v>
      </c>
      <c r="X45" s="8"/>
      <c r="Y45" s="8"/>
      <c r="Z45" s="8"/>
      <c r="AA45" s="8"/>
      <c r="AB45" s="8"/>
      <c r="AC45" s="8"/>
    </row>
    <row r="46" spans="1:29" x14ac:dyDescent="0.25">
      <c r="A46" t="s">
        <v>45</v>
      </c>
      <c r="B46">
        <v>0</v>
      </c>
      <c r="D46" t="s">
        <v>45</v>
      </c>
      <c r="E46">
        <v>5.0000000000000004E-6</v>
      </c>
      <c r="H46" s="8"/>
      <c r="I46" s="8">
        <v>15</v>
      </c>
      <c r="J46" s="8">
        <v>13</v>
      </c>
      <c r="K46" s="8" t="s">
        <v>73</v>
      </c>
      <c r="L46" s="8">
        <f t="shared" ca="1" si="14"/>
        <v>3.8116210000000001</v>
      </c>
      <c r="M46" s="8">
        <f t="shared" ca="1" si="16"/>
        <v>3.8255170000000001</v>
      </c>
      <c r="N46" s="8">
        <f t="shared" ca="1" si="16"/>
        <v>3.9192089999999999</v>
      </c>
      <c r="O46" s="8">
        <f t="shared" ca="1" si="16"/>
        <v>3.7219699999999998</v>
      </c>
      <c r="P46" s="8">
        <f t="shared" ca="1" si="16"/>
        <v>3.8030210000000002</v>
      </c>
      <c r="Q46" s="8">
        <v>3.8</v>
      </c>
      <c r="R46" s="8">
        <f t="shared" ca="1" si="19"/>
        <v>3.859696</v>
      </c>
      <c r="S46" s="8">
        <f t="shared" ca="1" si="19"/>
        <v>3.788621</v>
      </c>
      <c r="T46" s="8">
        <f t="shared" ca="1" si="19"/>
        <v>3.7361239999999998</v>
      </c>
      <c r="U46" s="8">
        <f t="shared" ca="1" si="19"/>
        <v>3.5810719999999998</v>
      </c>
      <c r="V46" s="8">
        <f t="shared" ca="1" si="19"/>
        <v>3.81636</v>
      </c>
      <c r="W46" s="8">
        <f t="shared" ca="1" si="19"/>
        <v>5.0928370000000003</v>
      </c>
      <c r="X46" s="8"/>
      <c r="Y46" s="8"/>
      <c r="Z46" s="8"/>
      <c r="AA46" s="8"/>
      <c r="AB46" s="8"/>
      <c r="AC46" s="8"/>
    </row>
    <row r="47" spans="1:29" x14ac:dyDescent="0.25">
      <c r="A47" t="s">
        <v>46</v>
      </c>
      <c r="B47">
        <v>0</v>
      </c>
      <c r="D47" t="s">
        <v>46</v>
      </c>
      <c r="E47">
        <v>5.0000000000000004E-6</v>
      </c>
      <c r="H47" s="8"/>
      <c r="I47" s="8">
        <v>16</v>
      </c>
      <c r="J47" s="8">
        <v>14</v>
      </c>
      <c r="K47" s="8" t="s">
        <v>74</v>
      </c>
      <c r="L47" s="8">
        <f t="shared" ca="1" si="14"/>
        <v>7.3828860000000001</v>
      </c>
      <c r="M47" s="8">
        <f t="shared" ca="1" si="16"/>
        <v>8.0615459999999999</v>
      </c>
      <c r="N47" s="8">
        <f t="shared" ca="1" si="16"/>
        <v>7.5968609999999996</v>
      </c>
      <c r="O47" s="8">
        <f t="shared" ca="1" si="16"/>
        <v>7.3496969999999999</v>
      </c>
      <c r="P47" s="8">
        <f t="shared" ca="1" si="16"/>
        <v>7.5437459999999996</v>
      </c>
      <c r="Q47" s="8">
        <f t="shared" ref="Q47:Q52" ca="1" si="20">OFFSET($E$81,($J47-1+(Q$6-2)*$I$5),0,1,1)</f>
        <v>8.0224410000000006</v>
      </c>
      <c r="R47" s="8">
        <f t="shared" ca="1" si="19"/>
        <v>7.361192</v>
      </c>
      <c r="S47" s="8">
        <f t="shared" ca="1" si="19"/>
        <v>7.4251670000000001</v>
      </c>
      <c r="T47" s="8">
        <f t="shared" ca="1" si="19"/>
        <v>7.0405639999999998</v>
      </c>
      <c r="U47" s="8">
        <f t="shared" ca="1" si="19"/>
        <v>7.1769340000000001</v>
      </c>
      <c r="V47" s="8">
        <f t="shared" ca="1" si="19"/>
        <v>6.7675029999999996</v>
      </c>
      <c r="W47" s="8">
        <f t="shared" ca="1" si="19"/>
        <v>13.095411</v>
      </c>
      <c r="X47" s="8"/>
      <c r="Y47" s="8"/>
      <c r="Z47" s="8"/>
      <c r="AA47" s="8"/>
      <c r="AB47" s="8"/>
      <c r="AC47" s="8"/>
    </row>
    <row r="48" spans="1:29" x14ac:dyDescent="0.25">
      <c r="A48" t="s">
        <v>47</v>
      </c>
      <c r="B48">
        <v>0</v>
      </c>
      <c r="D48" t="s">
        <v>47</v>
      </c>
      <c r="E48">
        <v>5.0000000000000004E-6</v>
      </c>
      <c r="H48" s="8"/>
      <c r="I48" s="8">
        <v>17</v>
      </c>
      <c r="J48" s="8">
        <v>15</v>
      </c>
      <c r="K48" s="8" t="s">
        <v>75</v>
      </c>
      <c r="L48" s="8">
        <f t="shared" ca="1" si="14"/>
        <v>6.0957720000000002</v>
      </c>
      <c r="M48" s="8">
        <f t="shared" ca="1" si="16"/>
        <v>6.7730399999999999</v>
      </c>
      <c r="N48" s="8">
        <f t="shared" ca="1" si="16"/>
        <v>7.0716799999999997</v>
      </c>
      <c r="O48" s="8">
        <f t="shared" ca="1" si="16"/>
        <v>7.6670850000000002</v>
      </c>
      <c r="P48" s="8">
        <f t="shared" ca="1" si="16"/>
        <v>8.0635860000000008</v>
      </c>
      <c r="Q48" s="8">
        <f t="shared" ca="1" si="20"/>
        <v>8.9081829999999993</v>
      </c>
      <c r="R48" s="8">
        <f t="shared" ca="1" si="19"/>
        <v>7.1915120000000003</v>
      </c>
      <c r="S48" s="8">
        <f t="shared" ca="1" si="19"/>
        <v>7.4800839999999997</v>
      </c>
      <c r="T48" s="8">
        <f t="shared" ca="1" si="19"/>
        <v>7.0025659999999998</v>
      </c>
      <c r="U48" s="8">
        <f t="shared" ca="1" si="19"/>
        <v>7.3661560000000001</v>
      </c>
      <c r="V48" s="8">
        <f t="shared" ca="1" si="19"/>
        <v>6.7421829999999998</v>
      </c>
      <c r="W48" s="8">
        <f t="shared" ca="1" si="19"/>
        <v>7.7298299999999998</v>
      </c>
      <c r="X48" s="8"/>
      <c r="Y48" s="8"/>
      <c r="Z48" s="8"/>
      <c r="AA48" s="8"/>
      <c r="AB48" s="8"/>
      <c r="AC48" s="8"/>
    </row>
    <row r="49" spans="1:29" x14ac:dyDescent="0.25">
      <c r="A49" t="s">
        <v>48</v>
      </c>
      <c r="B49">
        <v>0</v>
      </c>
      <c r="D49" t="s">
        <v>48</v>
      </c>
      <c r="E49">
        <v>5.0000000000000004E-6</v>
      </c>
      <c r="H49" s="8"/>
      <c r="I49" s="8">
        <v>18</v>
      </c>
      <c r="J49" s="8">
        <v>16</v>
      </c>
      <c r="K49" s="8" t="s">
        <v>76</v>
      </c>
      <c r="L49" s="8">
        <f t="shared" ca="1" si="14"/>
        <v>8.6700009999999992</v>
      </c>
      <c r="M49" s="8">
        <f t="shared" ca="1" si="16"/>
        <v>9.3500519999999998</v>
      </c>
      <c r="N49" s="8">
        <f t="shared" ca="1" si="16"/>
        <v>8.1220409999999994</v>
      </c>
      <c r="O49" s="8">
        <f t="shared" ca="1" si="16"/>
        <v>7.0323079999999996</v>
      </c>
      <c r="P49" s="8">
        <f t="shared" ca="1" si="16"/>
        <v>7.0239070000000003</v>
      </c>
      <c r="Q49" s="8">
        <f t="shared" ca="1" si="20"/>
        <v>7.1366990000000001</v>
      </c>
      <c r="R49" s="8">
        <f t="shared" ca="1" si="19"/>
        <v>7.5308710000000003</v>
      </c>
      <c r="S49" s="8">
        <f t="shared" ca="1" si="19"/>
        <v>7.3702509999999997</v>
      </c>
      <c r="T49" s="8">
        <f t="shared" ca="1" si="19"/>
        <v>7.0785619999999998</v>
      </c>
      <c r="U49" s="8">
        <f t="shared" ca="1" si="19"/>
        <v>6.987711</v>
      </c>
      <c r="V49" s="8">
        <f t="shared" ca="1" si="19"/>
        <v>6.7928240000000004</v>
      </c>
      <c r="W49" s="8">
        <f t="shared" ca="1" si="19"/>
        <v>18.460992000000001</v>
      </c>
      <c r="X49" s="8"/>
      <c r="Y49" s="8"/>
      <c r="Z49" s="8"/>
      <c r="AA49" s="8"/>
      <c r="AB49" s="8"/>
      <c r="AC49" s="8"/>
    </row>
    <row r="50" spans="1:29" x14ac:dyDescent="0.25">
      <c r="A50" t="s">
        <v>49</v>
      </c>
      <c r="B50">
        <v>0</v>
      </c>
      <c r="D50" t="s">
        <v>49</v>
      </c>
      <c r="E50">
        <v>5.0000000000000004E-6</v>
      </c>
      <c r="H50" s="8"/>
      <c r="I50" s="8">
        <v>19</v>
      </c>
      <c r="J50" s="8">
        <v>17</v>
      </c>
      <c r="K50" s="8" t="s">
        <v>77</v>
      </c>
      <c r="L50" s="8">
        <f t="shared" ca="1" si="14"/>
        <v>270.09659499999998</v>
      </c>
      <c r="M50" s="8">
        <f t="shared" ca="1" si="16"/>
        <v>73.403785999999997</v>
      </c>
      <c r="N50" s="8">
        <f t="shared" ca="1" si="16"/>
        <v>86.670996000000002</v>
      </c>
      <c r="O50" s="8">
        <f t="shared" ca="1" si="16"/>
        <v>353.41348199999999</v>
      </c>
      <c r="P50" s="8">
        <f t="shared" ca="1" si="16"/>
        <v>348.54382600000002</v>
      </c>
      <c r="Q50" s="8">
        <f t="shared" ca="1" si="20"/>
        <v>347.72610300000002</v>
      </c>
      <c r="R50" s="8">
        <f t="shared" ca="1" si="19"/>
        <v>293.05499600000002</v>
      </c>
      <c r="S50" s="8">
        <f t="shared" ca="1" si="19"/>
        <v>319.34020800000002</v>
      </c>
      <c r="T50" s="8">
        <f t="shared" ca="1" si="19"/>
        <v>311.45752599999997</v>
      </c>
      <c r="U50" s="8">
        <f t="shared" ca="1" si="19"/>
        <v>332.39320700000002</v>
      </c>
      <c r="V50" s="8">
        <f t="shared" ca="1" si="19"/>
        <v>82.377278000000004</v>
      </c>
      <c r="W50" s="8">
        <f t="shared" ca="1" si="19"/>
        <v>73.364450000000005</v>
      </c>
      <c r="X50" s="8"/>
      <c r="Y50" s="8"/>
      <c r="Z50" s="8"/>
      <c r="AA50" s="8"/>
      <c r="AB50" s="8"/>
      <c r="AC50" s="8"/>
    </row>
    <row r="51" spans="1:29" x14ac:dyDescent="0.25">
      <c r="A51" t="s">
        <v>50</v>
      </c>
      <c r="B51">
        <v>0</v>
      </c>
      <c r="D51" t="s">
        <v>50</v>
      </c>
      <c r="E51">
        <v>5.0000000000000004E-6</v>
      </c>
      <c r="H51" s="8"/>
      <c r="I51" s="8">
        <v>20</v>
      </c>
      <c r="J51" s="8">
        <v>18</v>
      </c>
      <c r="K51" s="8" t="s">
        <v>78</v>
      </c>
      <c r="L51" s="8">
        <f t="shared" ca="1" si="14"/>
        <v>0.88549100000000003</v>
      </c>
      <c r="M51" s="8">
        <f t="shared" ca="1" si="16"/>
        <v>0.861259</v>
      </c>
      <c r="N51" s="8">
        <f t="shared" ca="1" si="16"/>
        <v>0.98080699999999998</v>
      </c>
      <c r="O51" s="8">
        <f t="shared" ca="1" si="16"/>
        <v>0.99216099999999996</v>
      </c>
      <c r="P51" s="8">
        <f t="shared" ca="1" si="16"/>
        <v>0.977823</v>
      </c>
      <c r="Q51" s="8">
        <f t="shared" ca="1" si="20"/>
        <v>0.94247999999999998</v>
      </c>
      <c r="R51" s="8">
        <f t="shared" ca="1" si="19"/>
        <v>0.995583</v>
      </c>
      <c r="S51" s="8">
        <f t="shared" ca="1" si="19"/>
        <v>0.99039500000000003</v>
      </c>
      <c r="T51" s="8">
        <f t="shared" ca="1" si="19"/>
        <v>0.99234199999999995</v>
      </c>
      <c r="U51" s="8">
        <f t="shared" ca="1" si="19"/>
        <v>0.99146900000000004</v>
      </c>
      <c r="V51" s="8">
        <f t="shared" ca="1" si="19"/>
        <v>0.99994000000000005</v>
      </c>
      <c r="W51" s="8">
        <f t="shared" ca="1" si="19"/>
        <v>0.29569600000000001</v>
      </c>
      <c r="X51" s="8"/>
      <c r="Y51" s="8"/>
      <c r="Z51" s="8"/>
      <c r="AA51" s="8"/>
      <c r="AB51" s="8"/>
      <c r="AC51" s="8"/>
    </row>
    <row r="52" spans="1:29" x14ac:dyDescent="0.25">
      <c r="A52" t="s">
        <v>51</v>
      </c>
      <c r="B52">
        <v>0</v>
      </c>
      <c r="D52" t="s">
        <v>51</v>
      </c>
      <c r="E52">
        <v>5.0000000000000004E-6</v>
      </c>
      <c r="H52" s="8"/>
      <c r="I52" s="8">
        <v>21</v>
      </c>
      <c r="J52" s="8">
        <v>19</v>
      </c>
      <c r="K52" s="8" t="s">
        <v>79</v>
      </c>
      <c r="L52" s="8">
        <f t="shared" ca="1" si="14"/>
        <v>27055.008934000001</v>
      </c>
      <c r="M52" s="8">
        <f t="shared" ca="1" si="16"/>
        <v>39938.867181000001</v>
      </c>
      <c r="N52" s="8">
        <f t="shared" ca="1" si="16"/>
        <v>33932.208774999999</v>
      </c>
      <c r="O52" s="8">
        <f t="shared" ca="1" si="16"/>
        <v>23337.869591999999</v>
      </c>
      <c r="P52" s="8">
        <f t="shared" ca="1" si="16"/>
        <v>15945.054988</v>
      </c>
      <c r="Q52" s="8">
        <f t="shared" ca="1" si="20"/>
        <v>23627.053758999999</v>
      </c>
      <c r="R52" s="8">
        <f t="shared" ca="1" si="19"/>
        <v>109801.726344</v>
      </c>
      <c r="S52" s="8">
        <f t="shared" ca="1" si="19"/>
        <v>15547.660961</v>
      </c>
      <c r="T52" s="8">
        <f t="shared" ca="1" si="19"/>
        <v>119897.113893</v>
      </c>
      <c r="U52" s="8">
        <f t="shared" ca="1" si="19"/>
        <v>37906.56755</v>
      </c>
      <c r="V52" s="8">
        <f t="shared" ca="1" si="19"/>
        <v>25336.791530999999</v>
      </c>
      <c r="W52" s="8">
        <f t="shared" ca="1" si="19"/>
        <v>7.327877</v>
      </c>
      <c r="X52" s="8"/>
      <c r="Y52" s="8"/>
      <c r="Z52" s="8"/>
      <c r="AA52" s="8"/>
      <c r="AB52" s="8"/>
      <c r="AC52" s="8"/>
    </row>
    <row r="53" spans="1:29" x14ac:dyDescent="0.25">
      <c r="A53" t="s">
        <v>52</v>
      </c>
      <c r="B53">
        <v>0</v>
      </c>
      <c r="D53" t="s">
        <v>52</v>
      </c>
      <c r="E53">
        <v>5.0000000000000004E-6</v>
      </c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Z53" s="8"/>
      <c r="AA53" s="8"/>
      <c r="AB53" s="8"/>
      <c r="AC53" s="8"/>
    </row>
    <row r="54" spans="1:29" x14ac:dyDescent="0.25">
      <c r="A54" t="s">
        <v>53</v>
      </c>
      <c r="B54">
        <v>0</v>
      </c>
      <c r="D54" t="s">
        <v>53</v>
      </c>
      <c r="E54">
        <v>5.0000000000000004E-6</v>
      </c>
    </row>
    <row r="55" spans="1:29" x14ac:dyDescent="0.25">
      <c r="A55" t="s">
        <v>54</v>
      </c>
      <c r="B55">
        <v>0</v>
      </c>
      <c r="D55" t="s">
        <v>54</v>
      </c>
      <c r="E55">
        <v>5.0000000000000004E-6</v>
      </c>
      <c r="K55" t="s">
        <v>379</v>
      </c>
      <c r="L55" t="s">
        <v>366</v>
      </c>
      <c r="M55" t="s">
        <v>367</v>
      </c>
      <c r="N55" t="s">
        <v>368</v>
      </c>
      <c r="O55" t="s">
        <v>369</v>
      </c>
      <c r="P55" t="s">
        <v>370</v>
      </c>
      <c r="Q55" t="s">
        <v>371</v>
      </c>
      <c r="R55" t="s">
        <v>372</v>
      </c>
      <c r="S55" t="s">
        <v>373</v>
      </c>
      <c r="T55" t="s">
        <v>374</v>
      </c>
      <c r="U55" t="s">
        <v>375</v>
      </c>
      <c r="V55" t="s">
        <v>376</v>
      </c>
      <c r="W55" t="s">
        <v>377</v>
      </c>
    </row>
    <row r="56" spans="1:29" x14ac:dyDescent="0.25">
      <c r="A56" t="s">
        <v>55</v>
      </c>
      <c r="B56">
        <v>0</v>
      </c>
      <c r="D56" t="s">
        <v>55</v>
      </c>
      <c r="E56">
        <v>5.0000000000000004E-6</v>
      </c>
      <c r="K56" t="s">
        <v>296</v>
      </c>
      <c r="L56">
        <f t="shared" ref="L56:W56" ca="1" si="21">-2.5*(LOG10(L$13)-LOG10(L$38))</f>
        <v>-0.58996387477152634</v>
      </c>
      <c r="M56">
        <f t="shared" ca="1" si="21"/>
        <v>-0.61261326522596971</v>
      </c>
      <c r="N56">
        <f t="shared" ca="1" si="21"/>
        <v>-0.58529414677765734</v>
      </c>
      <c r="O56">
        <f t="shared" ca="1" si="21"/>
        <v>-0.35190386170946164</v>
      </c>
      <c r="P56">
        <f t="shared" ca="1" si="21"/>
        <v>-0.44096221536848113</v>
      </c>
      <c r="Q56">
        <f t="shared" ca="1" si="21"/>
        <v>-0.49381923410952933</v>
      </c>
      <c r="R56">
        <f t="shared" ca="1" si="21"/>
        <v>-0.57644687240170578</v>
      </c>
      <c r="S56" s="8">
        <f t="shared" ca="1" si="21"/>
        <v>-0.47016490240068043</v>
      </c>
      <c r="T56">
        <f t="shared" ca="1" si="21"/>
        <v>-0.44292913078051166</v>
      </c>
      <c r="U56">
        <f t="shared" ca="1" si="21"/>
        <v>-0.40617029848671882</v>
      </c>
      <c r="V56">
        <f t="shared" ca="1" si="21"/>
        <v>-0.41766094156843847</v>
      </c>
      <c r="W56">
        <f t="shared" ca="1" si="21"/>
        <v>-0.44926431294906477</v>
      </c>
    </row>
    <row r="57" spans="1:29" x14ac:dyDescent="0.25">
      <c r="A57" t="s">
        <v>56</v>
      </c>
      <c r="B57">
        <v>0</v>
      </c>
      <c r="D57" t="s">
        <v>56</v>
      </c>
      <c r="E57">
        <v>5.0000000000000004E-6</v>
      </c>
      <c r="K57" t="s">
        <v>295</v>
      </c>
      <c r="L57">
        <f t="shared" ref="L57:W57" ca="1" si="22">-2.5*LOG10(L$13)</f>
        <v>-11.434987017272801</v>
      </c>
      <c r="M57">
        <f t="shared" ca="1" si="22"/>
        <v>-11.668933833672581</v>
      </c>
      <c r="N57">
        <f t="shared" ca="1" si="22"/>
        <v>-11.633550530372537</v>
      </c>
      <c r="O57">
        <f t="shared" ca="1" si="22"/>
        <v>-11.17432449100145</v>
      </c>
      <c r="P57">
        <f t="shared" ca="1" si="22"/>
        <v>-11.070501593091493</v>
      </c>
      <c r="Q57">
        <f t="shared" ca="1" si="22"/>
        <v>-11.407612922716087</v>
      </c>
      <c r="R57">
        <f t="shared" ca="1" si="22"/>
        <v>-12.255107610633614</v>
      </c>
      <c r="S57" s="8">
        <f t="shared" ca="1" si="22"/>
        <v>-11.045800794893815</v>
      </c>
      <c r="T57">
        <f t="shared" ca="1" si="22"/>
        <v>-12.097884286610904</v>
      </c>
      <c r="U57">
        <f t="shared" ca="1" si="22"/>
        <v>-11.485265549989208</v>
      </c>
      <c r="V57">
        <f t="shared" ca="1" si="22"/>
        <v>-11.212190284809473</v>
      </c>
      <c r="W57">
        <f t="shared" ca="1" si="22"/>
        <v>-11.55277861979507</v>
      </c>
    </row>
    <row r="58" spans="1:29" x14ac:dyDescent="0.25">
      <c r="A58" t="s">
        <v>57</v>
      </c>
      <c r="B58">
        <v>0</v>
      </c>
      <c r="D58" t="s">
        <v>57</v>
      </c>
      <c r="E58" s="17">
        <v>2.4950000000000002E-12</v>
      </c>
      <c r="K58" t="s">
        <v>378</v>
      </c>
      <c r="L58" s="24">
        <f ca="1">AC25</f>
        <v>3.8818832909791063E-3</v>
      </c>
      <c r="M58" s="24">
        <f t="shared" ref="M58:W58" ca="1" si="23">AD25</f>
        <v>3.1933856320422393E-3</v>
      </c>
      <c r="N58" s="24">
        <f t="shared" ca="1" si="23"/>
        <v>3.2883531275988438E-3</v>
      </c>
      <c r="O58" s="24">
        <f t="shared" ca="1" si="23"/>
        <v>4.8432545308151366E-3</v>
      </c>
      <c r="P58" s="24">
        <f t="shared" ca="1" si="23"/>
        <v>5.294534536435901E-3</v>
      </c>
      <c r="Q58" s="24">
        <f t="shared" ca="1" si="23"/>
        <v>3.9724490154433518E-3</v>
      </c>
      <c r="R58" s="24">
        <f t="shared" ca="1" si="23"/>
        <v>1.9919326679399153E-3</v>
      </c>
      <c r="S58" s="24">
        <f t="shared" ca="1" si="23"/>
        <v>5.4083458454682598E-3</v>
      </c>
      <c r="T58" s="24">
        <f t="shared" ca="1" si="23"/>
        <v>2.2546677156063668E-3</v>
      </c>
      <c r="U58" s="24">
        <f t="shared" ca="1" si="23"/>
        <v>3.7213090355394155E-3</v>
      </c>
      <c r="V58" s="24">
        <f t="shared" ca="1" si="23"/>
        <v>4.6890202254777358E-3</v>
      </c>
      <c r="W58" s="24">
        <f t="shared" ca="1" si="23"/>
        <v>3.5169341736370277E-3</v>
      </c>
    </row>
    <row r="59" spans="1:29" x14ac:dyDescent="0.25">
      <c r="A59" t="s">
        <v>58</v>
      </c>
      <c r="B59">
        <v>0</v>
      </c>
      <c r="D59" t="s">
        <v>58</v>
      </c>
      <c r="E59" s="17">
        <v>4.8400000000000005E-7</v>
      </c>
    </row>
    <row r="60" spans="1:29" x14ac:dyDescent="0.25">
      <c r="A60" t="s">
        <v>59</v>
      </c>
      <c r="B60">
        <v>249.075445</v>
      </c>
      <c r="D60" t="s">
        <v>59</v>
      </c>
      <c r="E60">
        <v>247.32426899999999</v>
      </c>
    </row>
    <row r="61" spans="1:29" x14ac:dyDescent="0.25">
      <c r="A61" t="s">
        <v>60</v>
      </c>
      <c r="B61">
        <v>462.28240299999999</v>
      </c>
      <c r="D61" t="s">
        <v>60</v>
      </c>
      <c r="E61">
        <v>460.12826100000001</v>
      </c>
    </row>
    <row r="62" spans="1:29" x14ac:dyDescent="0.25">
      <c r="A62" t="s">
        <v>61</v>
      </c>
      <c r="B62">
        <v>249.575445</v>
      </c>
      <c r="D62" t="s">
        <v>61</v>
      </c>
      <c r="E62">
        <v>247.82426899999999</v>
      </c>
      <c r="X62">
        <f ca="1">AVERAGE(L67:W67)</f>
        <v>0.48643275471247877</v>
      </c>
    </row>
    <row r="63" spans="1:29" x14ac:dyDescent="0.25">
      <c r="A63" t="s">
        <v>62</v>
      </c>
      <c r="B63">
        <v>562.21759699999996</v>
      </c>
      <c r="D63" t="s">
        <v>62</v>
      </c>
      <c r="E63">
        <v>564.37173900000005</v>
      </c>
    </row>
    <row r="64" spans="1:29" x14ac:dyDescent="0.25">
      <c r="A64" t="s">
        <v>63</v>
      </c>
      <c r="B64">
        <v>19.896443999999999</v>
      </c>
      <c r="D64" t="s">
        <v>63</v>
      </c>
      <c r="E64">
        <v>19.896449</v>
      </c>
      <c r="L64">
        <f t="shared" ref="L64:W64" ca="1" si="24">L10</f>
        <v>562.21759699999996</v>
      </c>
      <c r="M64">
        <f t="shared" ca="1" si="24"/>
        <v>842.490948</v>
      </c>
      <c r="N64">
        <f t="shared" ca="1" si="24"/>
        <v>896.56133299999999</v>
      </c>
      <c r="O64">
        <f t="shared" ca="1" si="24"/>
        <v>541.40221099999997</v>
      </c>
      <c r="P64">
        <f t="shared" ca="1" si="24"/>
        <v>563.19731200000001</v>
      </c>
      <c r="Q64">
        <f t="shared" ca="1" si="24"/>
        <v>717.00906099999997</v>
      </c>
      <c r="R64">
        <f t="shared" ca="1" si="24"/>
        <v>805.76306699999998</v>
      </c>
      <c r="S64" s="8">
        <f t="shared" ca="1" si="24"/>
        <v>217.23861299999999</v>
      </c>
      <c r="T64">
        <f t="shared" ca="1" si="24"/>
        <v>430.48325199999999</v>
      </c>
      <c r="U64">
        <f t="shared" ca="1" si="24"/>
        <v>375.85697699999997</v>
      </c>
      <c r="V64">
        <f t="shared" ca="1" si="24"/>
        <v>614.86166200000002</v>
      </c>
      <c r="W64">
        <f t="shared" ca="1" si="24"/>
        <v>271.16211600000003</v>
      </c>
    </row>
    <row r="65" spans="1:23" x14ac:dyDescent="0.25">
      <c r="A65" t="s">
        <v>64</v>
      </c>
      <c r="B65">
        <v>18.778473000000002</v>
      </c>
      <c r="D65" t="s">
        <v>64</v>
      </c>
      <c r="E65">
        <v>18.778455000000001</v>
      </c>
      <c r="K65" t="s">
        <v>296</v>
      </c>
      <c r="L65">
        <f t="shared" ref="L65:W65" ca="1" si="25">-2.5*(LOG10(L$13)-LOG10(L$38))</f>
        <v>-0.58996387477152634</v>
      </c>
      <c r="M65">
        <f t="shared" ca="1" si="25"/>
        <v>-0.61261326522596971</v>
      </c>
      <c r="N65">
        <f t="shared" ca="1" si="25"/>
        <v>-0.58529414677765734</v>
      </c>
      <c r="O65">
        <f t="shared" ca="1" si="25"/>
        <v>-0.35190386170946164</v>
      </c>
      <c r="P65">
        <f t="shared" ca="1" si="25"/>
        <v>-0.44096221536848113</v>
      </c>
      <c r="Q65">
        <f t="shared" ca="1" si="25"/>
        <v>-0.49381923410952933</v>
      </c>
      <c r="R65">
        <f t="shared" ca="1" si="25"/>
        <v>-0.57644687240170578</v>
      </c>
      <c r="S65" s="8">
        <f t="shared" ca="1" si="25"/>
        <v>-0.47016490240068043</v>
      </c>
      <c r="T65">
        <f t="shared" ca="1" si="25"/>
        <v>-0.44292913078051166</v>
      </c>
      <c r="U65">
        <f t="shared" ca="1" si="25"/>
        <v>-0.40617029848671882</v>
      </c>
      <c r="V65">
        <f t="shared" ca="1" si="25"/>
        <v>-0.41766094156843847</v>
      </c>
      <c r="W65">
        <f t="shared" ca="1" si="25"/>
        <v>-0.44926431294906477</v>
      </c>
    </row>
    <row r="66" spans="1:23" x14ac:dyDescent="0.25">
      <c r="A66" t="s">
        <v>65</v>
      </c>
      <c r="B66">
        <v>37496.851852</v>
      </c>
      <c r="D66" t="s">
        <v>65</v>
      </c>
      <c r="E66">
        <v>21777.561908</v>
      </c>
      <c r="K66" t="s">
        <v>295</v>
      </c>
      <c r="L66">
        <f t="shared" ref="L66:W66" ca="1" si="26">-2.5*LOG10(L$38)</f>
        <v>-10.845023142501276</v>
      </c>
      <c r="M66">
        <f t="shared" ca="1" si="26"/>
        <v>-11.056320568446612</v>
      </c>
      <c r="N66">
        <f t="shared" ca="1" si="26"/>
        <v>-11.048256383594879</v>
      </c>
      <c r="O66">
        <f t="shared" ca="1" si="26"/>
        <v>-10.822420629291988</v>
      </c>
      <c r="P66">
        <f t="shared" ca="1" si="26"/>
        <v>-10.629539377723011</v>
      </c>
      <c r="Q66">
        <f t="shared" ca="1" si="26"/>
        <v>-10.913793688606557</v>
      </c>
      <c r="R66">
        <f t="shared" ca="1" si="26"/>
        <v>-11.678660738231908</v>
      </c>
      <c r="S66" s="8">
        <f t="shared" ca="1" si="26"/>
        <v>-10.575635892493134</v>
      </c>
      <c r="T66">
        <f t="shared" ca="1" si="26"/>
        <v>-11.654955155830393</v>
      </c>
      <c r="U66">
        <f t="shared" ca="1" si="26"/>
        <v>-11.079095251502489</v>
      </c>
      <c r="V66">
        <f t="shared" ca="1" si="26"/>
        <v>-10.794529343241035</v>
      </c>
      <c r="W66">
        <f t="shared" ca="1" si="26"/>
        <v>-11.103514306846005</v>
      </c>
    </row>
    <row r="67" spans="1:23" x14ac:dyDescent="0.25">
      <c r="A67" t="s">
        <v>66</v>
      </c>
      <c r="B67">
        <v>321.93416100000002</v>
      </c>
      <c r="D67" t="s">
        <v>66</v>
      </c>
      <c r="E67" s="17">
        <v>3.7470000000000003E-15</v>
      </c>
      <c r="K67" t="s">
        <v>359</v>
      </c>
      <c r="L67">
        <f t="shared" ref="L67:W67" ca="1" si="27">L66-L57</f>
        <v>0.58996387477152545</v>
      </c>
      <c r="M67">
        <f t="shared" ca="1" si="27"/>
        <v>0.61261326522596882</v>
      </c>
      <c r="N67">
        <f t="shared" ca="1" si="27"/>
        <v>0.58529414677765779</v>
      </c>
      <c r="O67">
        <f t="shared" ca="1" si="27"/>
        <v>0.3519038617094612</v>
      </c>
      <c r="P67">
        <f t="shared" ca="1" si="27"/>
        <v>0.44096221536848113</v>
      </c>
      <c r="Q67">
        <f t="shared" ca="1" si="27"/>
        <v>0.49381923410953021</v>
      </c>
      <c r="R67">
        <f t="shared" ca="1" si="27"/>
        <v>0.57644687240170533</v>
      </c>
      <c r="S67">
        <f t="shared" ca="1" si="27"/>
        <v>0.47016490240068087</v>
      </c>
      <c r="T67">
        <f t="shared" ca="1" si="27"/>
        <v>0.44292913078051122</v>
      </c>
      <c r="U67">
        <f t="shared" ca="1" si="27"/>
        <v>0.40617029848671926</v>
      </c>
      <c r="V67">
        <f t="shared" ca="1" si="27"/>
        <v>0.41766094156843891</v>
      </c>
      <c r="W67">
        <f t="shared" ca="1" si="27"/>
        <v>0.44926431294906521</v>
      </c>
    </row>
    <row r="68" spans="1:23" x14ac:dyDescent="0.25">
      <c r="A68" t="s">
        <v>67</v>
      </c>
      <c r="B68">
        <v>160.97145499999999</v>
      </c>
      <c r="D68" t="s">
        <v>67</v>
      </c>
      <c r="E68">
        <v>150.28739999999999</v>
      </c>
    </row>
    <row r="69" spans="1:23" x14ac:dyDescent="0.25">
      <c r="A69" t="s">
        <v>68</v>
      </c>
      <c r="B69">
        <v>232.941001</v>
      </c>
      <c r="D69" t="s">
        <v>68</v>
      </c>
      <c r="E69">
        <v>144.90610599999999</v>
      </c>
      <c r="L69">
        <f t="shared" ref="L69:W69" ca="1" si="28">L15</f>
        <v>160.97145499999999</v>
      </c>
      <c r="M69">
        <f t="shared" ca="1" si="28"/>
        <v>160.373437</v>
      </c>
      <c r="N69">
        <f t="shared" ca="1" si="28"/>
        <v>158.30829399999999</v>
      </c>
      <c r="O69">
        <f t="shared" ca="1" si="28"/>
        <v>159.75188299999999</v>
      </c>
      <c r="P69">
        <f t="shared" ca="1" si="28"/>
        <v>156.99743000000001</v>
      </c>
      <c r="Q69">
        <f t="shared" ca="1" si="28"/>
        <v>159.65827400000001</v>
      </c>
      <c r="R69">
        <f t="shared" ca="1" si="28"/>
        <v>168.37312299999999</v>
      </c>
      <c r="S69" s="5">
        <f t="shared" ca="1" si="28"/>
        <v>152.74798100000001</v>
      </c>
      <c r="T69">
        <f t="shared" ca="1" si="28"/>
        <v>169.64771999999999</v>
      </c>
      <c r="U69">
        <f t="shared" ca="1" si="28"/>
        <v>161.53738100000001</v>
      </c>
      <c r="V69">
        <f t="shared" ca="1" si="28"/>
        <v>161.58116699999999</v>
      </c>
      <c r="W69">
        <f t="shared" ca="1" si="28"/>
        <v>158.977431</v>
      </c>
    </row>
    <row r="70" spans="1:23" x14ac:dyDescent="0.25">
      <c r="A70" t="s">
        <v>69</v>
      </c>
      <c r="B70">
        <v>3553</v>
      </c>
      <c r="D70" t="s">
        <v>69</v>
      </c>
      <c r="E70">
        <v>1847</v>
      </c>
      <c r="K70" t="s">
        <v>296</v>
      </c>
      <c r="L70">
        <f t="shared" ref="L70:W70" ca="1" si="29">-2.5*(LOG10(L$13)-LOG10(L$38))</f>
        <v>-0.58996387477152634</v>
      </c>
      <c r="M70">
        <f t="shared" ca="1" si="29"/>
        <v>-0.61261326522596971</v>
      </c>
      <c r="N70">
        <f t="shared" ca="1" si="29"/>
        <v>-0.58529414677765734</v>
      </c>
      <c r="O70">
        <f t="shared" ca="1" si="29"/>
        <v>-0.35190386170946164</v>
      </c>
      <c r="P70">
        <f t="shared" ca="1" si="29"/>
        <v>-0.44096221536848113</v>
      </c>
      <c r="Q70">
        <f t="shared" ca="1" si="29"/>
        <v>-0.49381923410952933</v>
      </c>
      <c r="R70">
        <f t="shared" ca="1" si="29"/>
        <v>-0.57644687240170578</v>
      </c>
      <c r="S70">
        <f t="shared" ca="1" si="29"/>
        <v>-0.47016490240068043</v>
      </c>
      <c r="T70">
        <f t="shared" ca="1" si="29"/>
        <v>-0.44292913078051166</v>
      </c>
      <c r="U70">
        <f t="shared" ca="1" si="29"/>
        <v>-0.40617029848671882</v>
      </c>
      <c r="V70">
        <f t="shared" ca="1" si="29"/>
        <v>-0.41766094156843847</v>
      </c>
      <c r="W70">
        <f t="shared" ca="1" si="29"/>
        <v>-0.44926431294906477</v>
      </c>
    </row>
    <row r="71" spans="1:23" x14ac:dyDescent="0.25">
      <c r="A71" t="s">
        <v>70</v>
      </c>
      <c r="B71">
        <v>116.47366599999999</v>
      </c>
      <c r="D71" t="s">
        <v>70</v>
      </c>
      <c r="E71">
        <v>84.358740999999995</v>
      </c>
      <c r="K71" t="s">
        <v>295</v>
      </c>
      <c r="L71">
        <f t="shared" ref="L71:W71" ca="1" si="30">-2.5*LOG10(L$13+L$38)</f>
        <v>-11.93216816845365</v>
      </c>
      <c r="M71">
        <f t="shared" ca="1" si="30"/>
        <v>-12.157848349462766</v>
      </c>
      <c r="N71">
        <f t="shared" ca="1" si="30"/>
        <v>-12.132449685701044</v>
      </c>
      <c r="O71">
        <f t="shared" ca="1" si="30"/>
        <v>-11.76514276166162</v>
      </c>
      <c r="P71">
        <f t="shared" ca="1" si="30"/>
        <v>-11.624829899594491</v>
      </c>
      <c r="Q71">
        <f t="shared" ca="1" si="30"/>
        <v>-11.9411147152033</v>
      </c>
      <c r="R71">
        <f t="shared" ca="1" si="30"/>
        <v>-12.757274518173737</v>
      </c>
      <c r="S71">
        <f t="shared" ca="1" si="30"/>
        <v>-11.588546834915643</v>
      </c>
      <c r="T71">
        <f t="shared" ca="1" si="30"/>
        <v>-12.651426573568818</v>
      </c>
      <c r="U71">
        <f t="shared" ca="1" si="30"/>
        <v>-12.053639028123582</v>
      </c>
      <c r="V71">
        <f t="shared" ca="1" si="30"/>
        <v>-11.775895405952294</v>
      </c>
      <c r="W71">
        <f t="shared" ca="1" si="30"/>
        <v>-12.10379504722582</v>
      </c>
    </row>
    <row r="72" spans="1:23" x14ac:dyDescent="0.25">
      <c r="A72" t="s">
        <v>71</v>
      </c>
      <c r="B72">
        <v>524.848117</v>
      </c>
      <c r="D72" t="s">
        <v>71</v>
      </c>
      <c r="E72">
        <v>649.92383299999995</v>
      </c>
    </row>
    <row r="73" spans="1:23" x14ac:dyDescent="0.25">
      <c r="A73" t="s">
        <v>72</v>
      </c>
      <c r="B73">
        <v>842</v>
      </c>
      <c r="D73" t="s">
        <v>72</v>
      </c>
      <c r="E73">
        <v>0</v>
      </c>
    </row>
    <row r="74" spans="1:23" x14ac:dyDescent="0.25">
      <c r="A74" t="s">
        <v>73</v>
      </c>
      <c r="B74">
        <v>4.6359329999999996</v>
      </c>
      <c r="D74" t="s">
        <v>73</v>
      </c>
      <c r="E74">
        <v>3.8116210000000001</v>
      </c>
    </row>
    <row r="75" spans="1:23" x14ac:dyDescent="0.25">
      <c r="A75" t="s">
        <v>74</v>
      </c>
      <c r="B75">
        <v>9.3621569999999998</v>
      </c>
      <c r="D75" t="s">
        <v>74</v>
      </c>
      <c r="E75">
        <v>7.3828860000000001</v>
      </c>
    </row>
    <row r="76" spans="1:23" x14ac:dyDescent="0.25">
      <c r="A76" t="s">
        <v>75</v>
      </c>
      <c r="B76">
        <v>8.5507100000000005</v>
      </c>
      <c r="D76" t="s">
        <v>75</v>
      </c>
      <c r="E76">
        <v>6.0957720000000002</v>
      </c>
    </row>
    <row r="77" spans="1:23" x14ac:dyDescent="0.25">
      <c r="A77" t="s">
        <v>76</v>
      </c>
      <c r="B77">
        <v>10.173603999999999</v>
      </c>
      <c r="D77" t="s">
        <v>76</v>
      </c>
      <c r="E77">
        <v>8.6700009999999992</v>
      </c>
    </row>
    <row r="78" spans="1:23" x14ac:dyDescent="0.25">
      <c r="A78" t="s">
        <v>77</v>
      </c>
      <c r="B78">
        <v>272.63898999999998</v>
      </c>
      <c r="D78" t="s">
        <v>77</v>
      </c>
      <c r="E78">
        <v>270.09659499999998</v>
      </c>
    </row>
    <row r="79" spans="1:23" x14ac:dyDescent="0.25">
      <c r="A79" t="s">
        <v>78</v>
      </c>
      <c r="B79">
        <v>0.97014500000000004</v>
      </c>
      <c r="D79" t="s">
        <v>78</v>
      </c>
      <c r="E79">
        <v>0.88549100000000003</v>
      </c>
    </row>
    <row r="80" spans="1:23" x14ac:dyDescent="0.25">
      <c r="A80" t="s">
        <v>79</v>
      </c>
      <c r="B80">
        <v>63401.420557999998</v>
      </c>
      <c r="D80" t="s">
        <v>79</v>
      </c>
      <c r="E80">
        <v>27055.008934000001</v>
      </c>
    </row>
    <row r="81" spans="1:28" x14ac:dyDescent="0.25">
      <c r="A81" t="s">
        <v>80</v>
      </c>
      <c r="B81">
        <v>478.97589199999999</v>
      </c>
      <c r="D81" t="s">
        <v>80</v>
      </c>
      <c r="E81">
        <v>477.191372</v>
      </c>
    </row>
    <row r="82" spans="1:28" x14ac:dyDescent="0.25">
      <c r="A82" t="s">
        <v>81</v>
      </c>
      <c r="B82">
        <v>182.009052</v>
      </c>
      <c r="D82" t="s">
        <v>81</v>
      </c>
      <c r="E82">
        <v>182.265762</v>
      </c>
    </row>
    <row r="83" spans="1:28" x14ac:dyDescent="0.25">
      <c r="A83" t="s">
        <v>82</v>
      </c>
      <c r="B83">
        <v>479.47589199999999</v>
      </c>
      <c r="D83" t="s">
        <v>82</v>
      </c>
      <c r="E83">
        <v>477.691372</v>
      </c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8" x14ac:dyDescent="0.25">
      <c r="A84" t="s">
        <v>83</v>
      </c>
      <c r="B84">
        <v>842.490948</v>
      </c>
      <c r="D84" t="s">
        <v>83</v>
      </c>
      <c r="E84">
        <v>842.234238</v>
      </c>
    </row>
    <row r="85" spans="1:28" x14ac:dyDescent="0.25">
      <c r="A85" t="s">
        <v>84</v>
      </c>
      <c r="B85">
        <v>19.896346999999999</v>
      </c>
      <c r="D85" t="s">
        <v>84</v>
      </c>
      <c r="E85">
        <v>19.896350999999999</v>
      </c>
    </row>
    <row r="86" spans="1:28" x14ac:dyDescent="0.25">
      <c r="A86" t="s">
        <v>85</v>
      </c>
      <c r="B86">
        <v>18.780175</v>
      </c>
      <c r="D86" t="s">
        <v>85</v>
      </c>
      <c r="E86">
        <v>18.780142999999999</v>
      </c>
    </row>
    <row r="87" spans="1:28" x14ac:dyDescent="0.25">
      <c r="A87" t="s">
        <v>86</v>
      </c>
      <c r="B87">
        <v>46512.912380000002</v>
      </c>
      <c r="D87" t="s">
        <v>86</v>
      </c>
      <c r="E87">
        <v>26456.246439999999</v>
      </c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8" x14ac:dyDescent="0.25">
      <c r="A88" t="s">
        <v>87</v>
      </c>
      <c r="B88">
        <v>160.373437</v>
      </c>
      <c r="D88" t="s">
        <v>87</v>
      </c>
      <c r="E88">
        <v>143.880495</v>
      </c>
    </row>
    <row r="89" spans="1:28" x14ac:dyDescent="0.25">
      <c r="A89" t="s">
        <v>88</v>
      </c>
      <c r="B89">
        <v>290.02878099999998</v>
      </c>
      <c r="D89" t="s">
        <v>88</v>
      </c>
      <c r="E89">
        <v>183.876532</v>
      </c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Z89" s="2"/>
      <c r="AA89" s="2"/>
      <c r="AB89" s="2"/>
    </row>
    <row r="90" spans="1:28" x14ac:dyDescent="0.25">
      <c r="A90" t="s">
        <v>89</v>
      </c>
      <c r="B90">
        <v>3662</v>
      </c>
      <c r="D90" t="s">
        <v>89</v>
      </c>
      <c r="E90">
        <v>2033</v>
      </c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</row>
    <row r="91" spans="1:28" x14ac:dyDescent="0.25">
      <c r="A91" t="s">
        <v>90</v>
      </c>
      <c r="B91">
        <v>144.47958</v>
      </c>
      <c r="D91" t="s">
        <v>90</v>
      </c>
      <c r="E91">
        <v>102.482347</v>
      </c>
    </row>
    <row r="92" spans="1:28" x14ac:dyDescent="0.25">
      <c r="A92" t="s">
        <v>91</v>
      </c>
      <c r="B92">
        <v>501.07460900000001</v>
      </c>
      <c r="D92" t="s">
        <v>91</v>
      </c>
      <c r="E92">
        <v>566.99011099999996</v>
      </c>
    </row>
    <row r="93" spans="1:28" x14ac:dyDescent="0.25">
      <c r="A93" t="s">
        <v>92</v>
      </c>
      <c r="B93">
        <v>4.1393389999999997</v>
      </c>
      <c r="D93" t="s">
        <v>92</v>
      </c>
      <c r="E93">
        <v>3.8255170000000001</v>
      </c>
      <c r="Z93" s="2"/>
      <c r="AA93" s="2"/>
      <c r="AB93" s="2"/>
    </row>
    <row r="94" spans="1:28" x14ac:dyDescent="0.25">
      <c r="A94" t="s">
        <v>93</v>
      </c>
      <c r="B94">
        <v>9.2426410000000008</v>
      </c>
      <c r="D94" t="s">
        <v>93</v>
      </c>
      <c r="E94">
        <v>8.0615459999999999</v>
      </c>
      <c r="Y94" s="2"/>
    </row>
    <row r="95" spans="1:28" x14ac:dyDescent="0.25">
      <c r="A95" t="s">
        <v>94</v>
      </c>
      <c r="B95">
        <v>7.5859170000000002</v>
      </c>
      <c r="D95" t="s">
        <v>94</v>
      </c>
      <c r="E95">
        <v>6.7730399999999999</v>
      </c>
    </row>
    <row r="96" spans="1:28" x14ac:dyDescent="0.25">
      <c r="A96" t="s">
        <v>95</v>
      </c>
      <c r="B96">
        <v>10.899365</v>
      </c>
      <c r="D96" t="s">
        <v>95</v>
      </c>
      <c r="E96">
        <v>9.3500519999999998</v>
      </c>
    </row>
    <row r="97" spans="1:25" x14ac:dyDescent="0.25">
      <c r="A97" t="s">
        <v>96</v>
      </c>
      <c r="B97">
        <v>71.983225000000004</v>
      </c>
      <c r="D97" t="s">
        <v>96</v>
      </c>
      <c r="E97">
        <v>73.403785999999997</v>
      </c>
    </row>
    <row r="98" spans="1:25" x14ac:dyDescent="0.25">
      <c r="A98" t="s">
        <v>97</v>
      </c>
      <c r="B98">
        <v>0.81551799999999997</v>
      </c>
      <c r="D98" t="s">
        <v>97</v>
      </c>
      <c r="E98">
        <v>0.861259</v>
      </c>
      <c r="Y98" s="2"/>
    </row>
    <row r="99" spans="1:25" x14ac:dyDescent="0.25">
      <c r="A99" t="s">
        <v>98</v>
      </c>
      <c r="B99">
        <v>88903.630208999995</v>
      </c>
      <c r="D99" t="s">
        <v>98</v>
      </c>
      <c r="E99">
        <v>39938.867181000001</v>
      </c>
    </row>
    <row r="100" spans="1:25" x14ac:dyDescent="0.25">
      <c r="A100" t="s">
        <v>99</v>
      </c>
      <c r="B100">
        <v>548.39510700000005</v>
      </c>
      <c r="D100" t="s">
        <v>99</v>
      </c>
      <c r="E100">
        <v>546.35154899999998</v>
      </c>
    </row>
    <row r="101" spans="1:25" x14ac:dyDescent="0.25">
      <c r="A101" t="s">
        <v>100</v>
      </c>
      <c r="B101">
        <v>127.938667</v>
      </c>
      <c r="D101" t="s">
        <v>100</v>
      </c>
      <c r="E101">
        <v>127.145882</v>
      </c>
    </row>
    <row r="102" spans="1:25" x14ac:dyDescent="0.25">
      <c r="A102" t="s">
        <v>101</v>
      </c>
      <c r="B102">
        <v>548.89510700000005</v>
      </c>
      <c r="D102" t="s">
        <v>101</v>
      </c>
      <c r="E102">
        <v>546.85154899999998</v>
      </c>
    </row>
    <row r="103" spans="1:25" x14ac:dyDescent="0.25">
      <c r="A103" t="s">
        <v>102</v>
      </c>
      <c r="B103">
        <v>896.56133299999999</v>
      </c>
      <c r="D103" t="s">
        <v>102</v>
      </c>
      <c r="E103">
        <v>897.35411799999997</v>
      </c>
    </row>
    <row r="104" spans="1:25" x14ac:dyDescent="0.25">
      <c r="A104" t="s">
        <v>103</v>
      </c>
      <c r="B104">
        <v>19.896317</v>
      </c>
      <c r="D104" t="s">
        <v>103</v>
      </c>
      <c r="E104">
        <v>19.896322000000001</v>
      </c>
    </row>
    <row r="105" spans="1:25" x14ac:dyDescent="0.25">
      <c r="A105" t="s">
        <v>104</v>
      </c>
      <c r="B105">
        <v>18.780504000000001</v>
      </c>
      <c r="D105" t="s">
        <v>104</v>
      </c>
      <c r="E105">
        <v>18.780477999999999</v>
      </c>
    </row>
    <row r="106" spans="1:25" x14ac:dyDescent="0.25">
      <c r="A106" t="s">
        <v>105</v>
      </c>
      <c r="B106">
        <v>45021.526089999999</v>
      </c>
      <c r="D106" t="s">
        <v>105</v>
      </c>
      <c r="E106">
        <v>26260.473554</v>
      </c>
    </row>
    <row r="107" spans="1:25" x14ac:dyDescent="0.25">
      <c r="A107" t="s">
        <v>106</v>
      </c>
      <c r="B107">
        <v>158.30829399999999</v>
      </c>
      <c r="D107" t="s">
        <v>106</v>
      </c>
      <c r="E107">
        <v>140.56431900000001</v>
      </c>
    </row>
    <row r="108" spans="1:25" x14ac:dyDescent="0.25">
      <c r="A108" t="s">
        <v>107</v>
      </c>
      <c r="B108">
        <v>284.39145600000001</v>
      </c>
      <c r="D108" t="s">
        <v>107</v>
      </c>
      <c r="E108">
        <v>186.82176000000001</v>
      </c>
    </row>
    <row r="109" spans="1:25" x14ac:dyDescent="0.25">
      <c r="A109" t="s">
        <v>108</v>
      </c>
      <c r="B109">
        <v>2695</v>
      </c>
      <c r="D109" t="s">
        <v>108</v>
      </c>
      <c r="E109">
        <v>1897</v>
      </c>
    </row>
    <row r="110" spans="1:25" x14ac:dyDescent="0.25">
      <c r="A110" t="s">
        <v>109</v>
      </c>
      <c r="B110">
        <v>139.84699800000001</v>
      </c>
      <c r="D110" t="s">
        <v>109</v>
      </c>
      <c r="E110">
        <v>101.72399</v>
      </c>
    </row>
    <row r="111" spans="1:25" x14ac:dyDescent="0.25">
      <c r="A111" t="s">
        <v>110</v>
      </c>
      <c r="B111">
        <v>482.05432100000002</v>
      </c>
      <c r="D111" t="s">
        <v>110</v>
      </c>
      <c r="E111">
        <v>539.40784799999994</v>
      </c>
    </row>
    <row r="112" spans="1:25" x14ac:dyDescent="0.25">
      <c r="A112" t="s">
        <v>111</v>
      </c>
      <c r="B112">
        <v>3.3927079999999998</v>
      </c>
      <c r="D112" t="s">
        <v>111</v>
      </c>
      <c r="E112">
        <v>3.9192089999999999</v>
      </c>
    </row>
    <row r="113" spans="1:5" x14ac:dyDescent="0.25">
      <c r="A113" t="s">
        <v>112</v>
      </c>
      <c r="B113">
        <v>8.534618</v>
      </c>
      <c r="D113" t="s">
        <v>112</v>
      </c>
      <c r="E113">
        <v>7.5968609999999996</v>
      </c>
    </row>
    <row r="114" spans="1:5" x14ac:dyDescent="0.25">
      <c r="A114" t="s">
        <v>113</v>
      </c>
      <c r="B114">
        <v>7.6678940000000004</v>
      </c>
      <c r="D114" t="s">
        <v>113</v>
      </c>
      <c r="E114">
        <v>7.0716799999999997</v>
      </c>
    </row>
    <row r="115" spans="1:5" x14ac:dyDescent="0.25">
      <c r="A115" t="s">
        <v>114</v>
      </c>
      <c r="B115">
        <v>9.4013419999999996</v>
      </c>
      <c r="D115" t="s">
        <v>114</v>
      </c>
      <c r="E115">
        <v>8.1220409999999994</v>
      </c>
    </row>
    <row r="116" spans="1:5" x14ac:dyDescent="0.25">
      <c r="A116" t="s">
        <v>115</v>
      </c>
      <c r="B116">
        <v>86.941036999999994</v>
      </c>
      <c r="D116" t="s">
        <v>115</v>
      </c>
      <c r="E116">
        <v>86.670996000000002</v>
      </c>
    </row>
    <row r="117" spans="1:5" x14ac:dyDescent="0.25">
      <c r="A117" t="s">
        <v>116</v>
      </c>
      <c r="B117">
        <v>0.959121</v>
      </c>
      <c r="D117" t="s">
        <v>116</v>
      </c>
      <c r="E117">
        <v>0.98080699999999998</v>
      </c>
    </row>
    <row r="118" spans="1:5" x14ac:dyDescent="0.25">
      <c r="A118" t="s">
        <v>117</v>
      </c>
      <c r="B118">
        <v>58192.449047000002</v>
      </c>
      <c r="D118" t="s">
        <v>117</v>
      </c>
      <c r="E118">
        <v>33932.208774999999</v>
      </c>
    </row>
    <row r="119" spans="1:5" x14ac:dyDescent="0.25">
      <c r="A119" t="s">
        <v>118</v>
      </c>
      <c r="B119">
        <v>780.62620600000002</v>
      </c>
      <c r="D119" t="s">
        <v>118</v>
      </c>
      <c r="E119">
        <v>778.48086599999999</v>
      </c>
    </row>
    <row r="120" spans="1:5" x14ac:dyDescent="0.25">
      <c r="A120" t="s">
        <v>119</v>
      </c>
      <c r="B120">
        <v>483.09778899999998</v>
      </c>
      <c r="D120" t="s">
        <v>119</v>
      </c>
      <c r="E120">
        <v>482.16485399999999</v>
      </c>
    </row>
    <row r="121" spans="1:5" x14ac:dyDescent="0.25">
      <c r="A121" t="s">
        <v>120</v>
      </c>
      <c r="B121">
        <v>781.12620600000002</v>
      </c>
      <c r="D121" t="s">
        <v>120</v>
      </c>
      <c r="E121">
        <v>778.98086599999999</v>
      </c>
    </row>
    <row r="122" spans="1:5" x14ac:dyDescent="0.25">
      <c r="A122" t="s">
        <v>121</v>
      </c>
      <c r="B122">
        <v>541.40221099999997</v>
      </c>
      <c r="D122" t="s">
        <v>121</v>
      </c>
      <c r="E122">
        <v>542.33514600000001</v>
      </c>
    </row>
    <row r="123" spans="1:5" x14ac:dyDescent="0.25">
      <c r="A123" t="s">
        <v>122</v>
      </c>
      <c r="B123">
        <v>19.896215999999999</v>
      </c>
      <c r="D123" t="s">
        <v>122</v>
      </c>
      <c r="E123">
        <v>19.896221000000001</v>
      </c>
    </row>
    <row r="124" spans="1:5" x14ac:dyDescent="0.25">
      <c r="A124" t="s">
        <v>123</v>
      </c>
      <c r="B124">
        <v>18.778359999999999</v>
      </c>
      <c r="D124" t="s">
        <v>123</v>
      </c>
      <c r="E124">
        <v>18.778334999999998</v>
      </c>
    </row>
    <row r="125" spans="1:5" x14ac:dyDescent="0.25">
      <c r="A125" t="s">
        <v>124</v>
      </c>
      <c r="B125">
        <v>29493.736534</v>
      </c>
      <c r="D125" t="s">
        <v>124</v>
      </c>
      <c r="E125">
        <v>21328.889866000001</v>
      </c>
    </row>
    <row r="126" spans="1:5" x14ac:dyDescent="0.25">
      <c r="A126" t="s">
        <v>125</v>
      </c>
      <c r="B126">
        <v>159.75188299999999</v>
      </c>
      <c r="D126" t="s">
        <v>125</v>
      </c>
      <c r="E126">
        <v>151.40079700000001</v>
      </c>
    </row>
    <row r="127" spans="1:5" x14ac:dyDescent="0.25">
      <c r="A127" t="s">
        <v>126</v>
      </c>
      <c r="B127">
        <v>184.622152</v>
      </c>
      <c r="D127" t="s">
        <v>126</v>
      </c>
      <c r="E127">
        <v>140.87699900000001</v>
      </c>
    </row>
    <row r="128" spans="1:5" x14ac:dyDescent="0.25">
      <c r="A128" t="s">
        <v>127</v>
      </c>
      <c r="B128">
        <v>2238</v>
      </c>
      <c r="D128" t="s">
        <v>127</v>
      </c>
      <c r="E128">
        <v>1808</v>
      </c>
    </row>
    <row r="129" spans="1:25" x14ac:dyDescent="0.25">
      <c r="A129" t="s">
        <v>128</v>
      </c>
      <c r="B129">
        <v>91.614187000000001</v>
      </c>
      <c r="D129" t="s">
        <v>128</v>
      </c>
      <c r="E129">
        <v>82.620740999999995</v>
      </c>
    </row>
    <row r="130" spans="1:25" x14ac:dyDescent="0.25">
      <c r="A130" t="s">
        <v>129</v>
      </c>
      <c r="B130">
        <v>534.97610499999996</v>
      </c>
      <c r="D130" t="s">
        <v>129</v>
      </c>
      <c r="E130">
        <v>666.74788899999999</v>
      </c>
    </row>
    <row r="131" spans="1:25" x14ac:dyDescent="0.25">
      <c r="A131" t="s">
        <v>130</v>
      </c>
      <c r="B131">
        <v>3.4391449999999999</v>
      </c>
      <c r="D131" t="s">
        <v>130</v>
      </c>
      <c r="E131">
        <v>3.7219699999999998</v>
      </c>
      <c r="Y131" s="4"/>
    </row>
    <row r="132" spans="1:25" x14ac:dyDescent="0.25">
      <c r="A132" t="s">
        <v>131</v>
      </c>
      <c r="B132">
        <v>7.5369400000000004</v>
      </c>
      <c r="D132" t="s">
        <v>131</v>
      </c>
      <c r="E132">
        <v>7.3496969999999999</v>
      </c>
      <c r="Y132" s="4"/>
    </row>
    <row r="133" spans="1:25" x14ac:dyDescent="0.25">
      <c r="A133" t="s">
        <v>132</v>
      </c>
      <c r="B133">
        <v>7.8598610000000004</v>
      </c>
      <c r="D133" t="s">
        <v>132</v>
      </c>
      <c r="E133">
        <v>7.6670850000000002</v>
      </c>
    </row>
    <row r="134" spans="1:25" x14ac:dyDescent="0.25">
      <c r="A134" t="s">
        <v>133</v>
      </c>
      <c r="B134">
        <v>7.2140180000000003</v>
      </c>
      <c r="D134" t="s">
        <v>133</v>
      </c>
      <c r="E134">
        <v>7.0323079999999996</v>
      </c>
    </row>
    <row r="135" spans="1:25" x14ac:dyDescent="0.25">
      <c r="A135" t="s">
        <v>134</v>
      </c>
      <c r="B135">
        <v>352.19817599999999</v>
      </c>
      <c r="D135" t="s">
        <v>134</v>
      </c>
      <c r="E135">
        <v>353.41348199999999</v>
      </c>
    </row>
    <row r="136" spans="1:25" x14ac:dyDescent="0.25">
      <c r="A136" t="s">
        <v>135</v>
      </c>
      <c r="B136">
        <v>0.99211300000000002</v>
      </c>
      <c r="D136" t="s">
        <v>135</v>
      </c>
      <c r="E136">
        <v>0.99216099999999996</v>
      </c>
    </row>
    <row r="137" spans="1:25" x14ac:dyDescent="0.25">
      <c r="A137" t="s">
        <v>136</v>
      </c>
      <c r="B137">
        <v>36764.920550000003</v>
      </c>
      <c r="D137" t="s">
        <v>136</v>
      </c>
      <c r="E137">
        <v>23337.869591999999</v>
      </c>
    </row>
    <row r="138" spans="1:25" x14ac:dyDescent="0.25">
      <c r="A138" t="s">
        <v>137</v>
      </c>
      <c r="B138">
        <v>942.152061</v>
      </c>
      <c r="D138" t="s">
        <v>137</v>
      </c>
      <c r="E138">
        <v>939.92691000000002</v>
      </c>
    </row>
    <row r="139" spans="1:25" x14ac:dyDescent="0.25">
      <c r="A139" t="s">
        <v>138</v>
      </c>
      <c r="B139">
        <v>461.30268799999999</v>
      </c>
      <c r="D139" t="s">
        <v>138</v>
      </c>
      <c r="E139">
        <v>460.45563700000002</v>
      </c>
    </row>
    <row r="140" spans="1:25" x14ac:dyDescent="0.25">
      <c r="A140" t="s">
        <v>139</v>
      </c>
      <c r="B140">
        <v>942.652061</v>
      </c>
      <c r="D140" t="s">
        <v>139</v>
      </c>
      <c r="E140">
        <v>940.42691000000002</v>
      </c>
    </row>
    <row r="141" spans="1:25" x14ac:dyDescent="0.25">
      <c r="A141" t="s">
        <v>140</v>
      </c>
      <c r="B141">
        <v>563.19731200000001</v>
      </c>
      <c r="D141" t="s">
        <v>140</v>
      </c>
      <c r="E141">
        <v>564.04436299999998</v>
      </c>
    </row>
    <row r="142" spans="1:25" x14ac:dyDescent="0.25">
      <c r="A142" t="s">
        <v>141</v>
      </c>
      <c r="B142">
        <v>19.896146999999999</v>
      </c>
      <c r="D142" t="s">
        <v>141</v>
      </c>
      <c r="E142">
        <v>19.896152000000001</v>
      </c>
    </row>
    <row r="143" spans="1:25" x14ac:dyDescent="0.25">
      <c r="A143" t="s">
        <v>142</v>
      </c>
      <c r="B143">
        <v>18.778496000000001</v>
      </c>
      <c r="D143" t="s">
        <v>142</v>
      </c>
      <c r="E143">
        <v>18.778471</v>
      </c>
    </row>
    <row r="144" spans="1:25" x14ac:dyDescent="0.25">
      <c r="A144" t="s">
        <v>143</v>
      </c>
      <c r="B144">
        <v>26804.063445</v>
      </c>
      <c r="D144" t="s">
        <v>143</v>
      </c>
      <c r="E144">
        <v>17857.298203999999</v>
      </c>
    </row>
    <row r="145" spans="1:24" x14ac:dyDescent="0.25">
      <c r="A145" t="s">
        <v>144</v>
      </c>
      <c r="B145">
        <v>156.99743000000001</v>
      </c>
      <c r="D145" t="s">
        <v>144</v>
      </c>
      <c r="E145">
        <v>146.04159899999999</v>
      </c>
    </row>
    <row r="146" spans="1:24" x14ac:dyDescent="0.25">
      <c r="A146" t="s">
        <v>145</v>
      </c>
      <c r="B146">
        <v>170.72931399999999</v>
      </c>
      <c r="D146" t="s">
        <v>145</v>
      </c>
      <c r="E146">
        <v>122.27542200000001</v>
      </c>
    </row>
    <row r="147" spans="1:24" x14ac:dyDescent="0.25">
      <c r="A147" t="s">
        <v>146</v>
      </c>
      <c r="B147">
        <v>1777</v>
      </c>
      <c r="D147" t="s">
        <v>146</v>
      </c>
      <c r="E147">
        <v>1532</v>
      </c>
    </row>
    <row r="148" spans="1:24" x14ac:dyDescent="0.25">
      <c r="A148" t="s">
        <v>147</v>
      </c>
      <c r="B148">
        <v>83.259456999999998</v>
      </c>
      <c r="D148" t="s">
        <v>147</v>
      </c>
      <c r="E148">
        <v>69.172995999999998</v>
      </c>
    </row>
    <row r="149" spans="1:24" x14ac:dyDescent="0.25">
      <c r="A149" t="s">
        <v>148</v>
      </c>
      <c r="B149">
        <v>516.52335300000004</v>
      </c>
      <c r="D149" t="s">
        <v>148</v>
      </c>
      <c r="E149">
        <v>615.72816699999998</v>
      </c>
    </row>
    <row r="150" spans="1:24" x14ac:dyDescent="0.25">
      <c r="A150" t="s">
        <v>149</v>
      </c>
      <c r="B150">
        <v>3.5998899999999998</v>
      </c>
      <c r="D150" t="s">
        <v>149</v>
      </c>
      <c r="E150">
        <v>3.8030210000000002</v>
      </c>
    </row>
    <row r="151" spans="1:24" x14ac:dyDescent="0.25">
      <c r="A151" t="s">
        <v>150</v>
      </c>
      <c r="B151">
        <v>8.2823709999999995</v>
      </c>
      <c r="D151" t="s">
        <v>150</v>
      </c>
      <c r="E151">
        <v>7.5437459999999996</v>
      </c>
      <c r="X151" s="2"/>
    </row>
    <row r="152" spans="1:24" x14ac:dyDescent="0.25">
      <c r="A152" t="s">
        <v>151</v>
      </c>
      <c r="B152">
        <v>8.9999950000000002</v>
      </c>
      <c r="D152" t="s">
        <v>151</v>
      </c>
      <c r="E152">
        <v>8.0635860000000008</v>
      </c>
    </row>
    <row r="153" spans="1:24" x14ac:dyDescent="0.25">
      <c r="A153" t="s">
        <v>152</v>
      </c>
      <c r="B153">
        <v>7.5647469999999997</v>
      </c>
      <c r="D153" t="s">
        <v>152</v>
      </c>
      <c r="E153">
        <v>7.0239070000000003</v>
      </c>
    </row>
    <row r="154" spans="1:24" x14ac:dyDescent="0.25">
      <c r="A154" t="s">
        <v>153</v>
      </c>
      <c r="B154">
        <v>355.401274</v>
      </c>
      <c r="D154" t="s">
        <v>153</v>
      </c>
      <c r="E154">
        <v>348.54382600000002</v>
      </c>
    </row>
    <row r="155" spans="1:24" x14ac:dyDescent="0.25">
      <c r="A155" t="s">
        <v>154</v>
      </c>
      <c r="B155">
        <v>0.96964099999999998</v>
      </c>
      <c r="D155" t="s">
        <v>154</v>
      </c>
      <c r="E155">
        <v>0.977823</v>
      </c>
      <c r="X155" s="2"/>
    </row>
    <row r="156" spans="1:24" x14ac:dyDescent="0.25">
      <c r="A156" t="s">
        <v>155</v>
      </c>
      <c r="B156">
        <v>22800.548634999999</v>
      </c>
      <c r="D156" t="s">
        <v>155</v>
      </c>
      <c r="E156">
        <v>15945.054988</v>
      </c>
    </row>
    <row r="157" spans="1:24" x14ac:dyDescent="0.25">
      <c r="A157" t="s">
        <v>156</v>
      </c>
      <c r="B157">
        <v>880.94975599999998</v>
      </c>
      <c r="D157" t="s">
        <v>156</v>
      </c>
      <c r="E157">
        <v>878.92189800000006</v>
      </c>
    </row>
    <row r="158" spans="1:24" x14ac:dyDescent="0.25">
      <c r="A158" t="s">
        <v>157</v>
      </c>
      <c r="B158">
        <v>307.49093900000003</v>
      </c>
      <c r="D158" t="s">
        <v>157</v>
      </c>
      <c r="E158">
        <v>306.81331599999999</v>
      </c>
    </row>
    <row r="159" spans="1:24" x14ac:dyDescent="0.25">
      <c r="A159" t="s">
        <v>158</v>
      </c>
      <c r="B159">
        <v>881.44975599999998</v>
      </c>
      <c r="D159" t="s">
        <v>158</v>
      </c>
      <c r="E159">
        <v>879.42189800000006</v>
      </c>
    </row>
    <row r="160" spans="1:24" x14ac:dyDescent="0.25">
      <c r="A160" t="s">
        <v>159</v>
      </c>
      <c r="B160">
        <v>717.00906099999997</v>
      </c>
      <c r="D160" t="s">
        <v>159</v>
      </c>
      <c r="E160">
        <v>717.68668400000001</v>
      </c>
    </row>
    <row r="161" spans="1:5" x14ac:dyDescent="0.25">
      <c r="A161" t="s">
        <v>160</v>
      </c>
      <c r="B161">
        <v>19.896173999999998</v>
      </c>
      <c r="D161" t="s">
        <v>160</v>
      </c>
      <c r="E161">
        <v>19.896179</v>
      </c>
    </row>
    <row r="162" spans="1:5" x14ac:dyDescent="0.25">
      <c r="A162" t="s">
        <v>161</v>
      </c>
      <c r="B162">
        <v>18.779426000000001</v>
      </c>
      <c r="D162" t="s">
        <v>161</v>
      </c>
      <c r="E162">
        <v>18.779399000000002</v>
      </c>
    </row>
    <row r="163" spans="1:5" x14ac:dyDescent="0.25">
      <c r="A163" t="s">
        <v>162</v>
      </c>
      <c r="B163">
        <v>36563.281752000003</v>
      </c>
      <c r="D163" t="s">
        <v>162</v>
      </c>
      <c r="E163">
        <v>23201.575438</v>
      </c>
    </row>
    <row r="164" spans="1:5" x14ac:dyDescent="0.25">
      <c r="A164" t="s">
        <v>163</v>
      </c>
      <c r="B164">
        <v>159.65827400000001</v>
      </c>
      <c r="D164" t="s">
        <v>163</v>
      </c>
      <c r="E164">
        <v>143.53950800000001</v>
      </c>
    </row>
    <row r="165" spans="1:5" x14ac:dyDescent="0.25">
      <c r="A165" t="s">
        <v>164</v>
      </c>
      <c r="B165">
        <v>229.00962699999999</v>
      </c>
      <c r="D165" t="s">
        <v>164</v>
      </c>
      <c r="E165">
        <v>161.63894999999999</v>
      </c>
    </row>
    <row r="166" spans="1:5" x14ac:dyDescent="0.25">
      <c r="A166" t="s">
        <v>165</v>
      </c>
      <c r="B166">
        <v>2156</v>
      </c>
      <c r="D166" t="s">
        <v>165</v>
      </c>
      <c r="E166">
        <v>1670</v>
      </c>
    </row>
    <row r="167" spans="1:5" x14ac:dyDescent="0.25">
      <c r="A167" t="s">
        <v>166</v>
      </c>
      <c r="B167">
        <v>113.573787</v>
      </c>
      <c r="D167" t="s">
        <v>166</v>
      </c>
      <c r="E167">
        <v>89.874876999999998</v>
      </c>
    </row>
    <row r="168" spans="1:5" x14ac:dyDescent="0.25">
      <c r="A168" t="s">
        <v>167</v>
      </c>
      <c r="B168">
        <v>512.37453600000003</v>
      </c>
      <c r="D168" t="s">
        <v>167</v>
      </c>
      <c r="E168">
        <v>578.33133999999995</v>
      </c>
    </row>
    <row r="169" spans="1:5" x14ac:dyDescent="0.25">
      <c r="A169" t="s">
        <v>168</v>
      </c>
      <c r="B169">
        <v>3.4895109999999998</v>
      </c>
      <c r="D169" t="s">
        <v>168</v>
      </c>
      <c r="E169">
        <v>3.9031760000000002</v>
      </c>
    </row>
    <row r="170" spans="1:5" x14ac:dyDescent="0.25">
      <c r="A170" t="s">
        <v>169</v>
      </c>
      <c r="B170">
        <v>8.8323160000000005</v>
      </c>
      <c r="D170" t="s">
        <v>169</v>
      </c>
      <c r="E170">
        <v>8.0224410000000006</v>
      </c>
    </row>
    <row r="171" spans="1:5" x14ac:dyDescent="0.25">
      <c r="A171" t="s">
        <v>170</v>
      </c>
      <c r="B171">
        <v>9.3710369999999994</v>
      </c>
      <c r="D171" t="s">
        <v>170</v>
      </c>
      <c r="E171">
        <v>8.9081829999999993</v>
      </c>
    </row>
    <row r="172" spans="1:5" x14ac:dyDescent="0.25">
      <c r="A172" t="s">
        <v>171</v>
      </c>
      <c r="B172">
        <v>8.2935960000000009</v>
      </c>
      <c r="D172" t="s">
        <v>171</v>
      </c>
      <c r="E172">
        <v>7.1366990000000001</v>
      </c>
    </row>
    <row r="173" spans="1:5" x14ac:dyDescent="0.25">
      <c r="A173" t="s">
        <v>172</v>
      </c>
      <c r="B173">
        <v>333.04179199999999</v>
      </c>
      <c r="D173" t="s">
        <v>172</v>
      </c>
      <c r="E173">
        <v>347.72610300000002</v>
      </c>
    </row>
    <row r="174" spans="1:5" x14ac:dyDescent="0.25">
      <c r="A174" t="s">
        <v>173</v>
      </c>
      <c r="B174">
        <v>0.95741699999999996</v>
      </c>
      <c r="D174" t="s">
        <v>173</v>
      </c>
      <c r="E174">
        <v>0.94247999999999998</v>
      </c>
    </row>
    <row r="175" spans="1:5" x14ac:dyDescent="0.25">
      <c r="A175" t="s">
        <v>174</v>
      </c>
      <c r="B175">
        <v>37459.712013999997</v>
      </c>
      <c r="D175" t="s">
        <v>174</v>
      </c>
      <c r="E175">
        <v>23627.053758999999</v>
      </c>
    </row>
    <row r="176" spans="1:5" x14ac:dyDescent="0.25">
      <c r="A176" t="s">
        <v>175</v>
      </c>
      <c r="B176">
        <v>721.35706800000003</v>
      </c>
      <c r="D176" t="s">
        <v>175</v>
      </c>
      <c r="E176">
        <v>719.30060100000003</v>
      </c>
    </row>
    <row r="177" spans="1:5" x14ac:dyDescent="0.25">
      <c r="A177" t="s">
        <v>176</v>
      </c>
      <c r="B177">
        <v>218.73693299999999</v>
      </c>
      <c r="D177" t="s">
        <v>176</v>
      </c>
      <c r="E177">
        <v>217.87232599999999</v>
      </c>
    </row>
    <row r="178" spans="1:5" x14ac:dyDescent="0.25">
      <c r="A178" t="s">
        <v>177</v>
      </c>
      <c r="B178">
        <v>721.85706800000003</v>
      </c>
      <c r="D178" t="s">
        <v>177</v>
      </c>
      <c r="E178">
        <v>719.80060100000003</v>
      </c>
    </row>
    <row r="179" spans="1:5" x14ac:dyDescent="0.25">
      <c r="A179" t="s">
        <v>178</v>
      </c>
      <c r="B179">
        <v>805.76306699999998</v>
      </c>
      <c r="D179" t="s">
        <v>178</v>
      </c>
      <c r="E179">
        <v>806.62767399999996</v>
      </c>
    </row>
    <row r="180" spans="1:5" x14ac:dyDescent="0.25">
      <c r="A180" t="s">
        <v>179</v>
      </c>
      <c r="B180">
        <v>19.896242000000001</v>
      </c>
      <c r="D180" t="s">
        <v>179</v>
      </c>
      <c r="E180">
        <v>19.896246999999999</v>
      </c>
    </row>
    <row r="181" spans="1:5" x14ac:dyDescent="0.25">
      <c r="A181" t="s">
        <v>180</v>
      </c>
      <c r="B181">
        <v>18.779959000000002</v>
      </c>
      <c r="D181" t="s">
        <v>180</v>
      </c>
      <c r="E181">
        <v>18.779934000000001</v>
      </c>
    </row>
    <row r="182" spans="1:5" x14ac:dyDescent="0.25">
      <c r="A182" t="s">
        <v>181</v>
      </c>
      <c r="B182">
        <v>79807.378288000007</v>
      </c>
      <c r="D182" t="s">
        <v>181</v>
      </c>
      <c r="E182">
        <v>46931.484888999999</v>
      </c>
    </row>
    <row r="183" spans="1:5" x14ac:dyDescent="0.25">
      <c r="A183" t="s">
        <v>182</v>
      </c>
      <c r="B183">
        <v>168.37312299999999</v>
      </c>
      <c r="D183" t="s">
        <v>182</v>
      </c>
      <c r="E183">
        <v>148.32576599999999</v>
      </c>
    </row>
    <row r="184" spans="1:5" x14ac:dyDescent="0.25">
      <c r="A184" t="s">
        <v>183</v>
      </c>
      <c r="B184">
        <v>473.991198</v>
      </c>
      <c r="D184" t="s">
        <v>183</v>
      </c>
      <c r="E184">
        <v>316.40817600000003</v>
      </c>
    </row>
    <row r="185" spans="1:5" x14ac:dyDescent="0.25">
      <c r="A185" t="s">
        <v>184</v>
      </c>
      <c r="B185">
        <v>4625</v>
      </c>
      <c r="D185" t="s">
        <v>184</v>
      </c>
      <c r="E185">
        <v>3039</v>
      </c>
    </row>
    <row r="186" spans="1:5" x14ac:dyDescent="0.25">
      <c r="A186" t="s">
        <v>185</v>
      </c>
      <c r="B186">
        <v>247.899689</v>
      </c>
      <c r="D186" t="s">
        <v>185</v>
      </c>
      <c r="E186">
        <v>181.79633699999999</v>
      </c>
    </row>
    <row r="187" spans="1:5" x14ac:dyDescent="0.25">
      <c r="A187" t="s">
        <v>186</v>
      </c>
      <c r="B187">
        <v>500.76071400000001</v>
      </c>
      <c r="D187" t="s">
        <v>186</v>
      </c>
      <c r="E187">
        <v>565.46445000000006</v>
      </c>
    </row>
    <row r="188" spans="1:5" x14ac:dyDescent="0.25">
      <c r="A188" t="s">
        <v>187</v>
      </c>
      <c r="B188">
        <v>3.638506</v>
      </c>
      <c r="D188" t="s">
        <v>187</v>
      </c>
      <c r="E188">
        <v>3.859696</v>
      </c>
    </row>
    <row r="189" spans="1:5" x14ac:dyDescent="0.25">
      <c r="A189" t="s">
        <v>188</v>
      </c>
      <c r="B189">
        <v>8.2371580000000009</v>
      </c>
      <c r="D189" t="s">
        <v>188</v>
      </c>
      <c r="E189">
        <v>7.361192</v>
      </c>
    </row>
    <row r="190" spans="1:5" x14ac:dyDescent="0.25">
      <c r="A190" t="s">
        <v>189</v>
      </c>
      <c r="B190">
        <v>7.8987249999999998</v>
      </c>
      <c r="D190" t="s">
        <v>189</v>
      </c>
      <c r="E190">
        <v>7.1915120000000003</v>
      </c>
    </row>
    <row r="191" spans="1:5" x14ac:dyDescent="0.25">
      <c r="A191" t="s">
        <v>190</v>
      </c>
      <c r="B191">
        <v>8.57559</v>
      </c>
      <c r="D191" t="s">
        <v>190</v>
      </c>
      <c r="E191">
        <v>7.5308710000000003</v>
      </c>
    </row>
    <row r="192" spans="1:5" x14ac:dyDescent="0.25">
      <c r="A192" t="s">
        <v>191</v>
      </c>
      <c r="B192">
        <v>291.03682300000003</v>
      </c>
      <c r="D192" t="s">
        <v>191</v>
      </c>
      <c r="E192">
        <v>293.05499600000002</v>
      </c>
    </row>
    <row r="193" spans="1:5" x14ac:dyDescent="0.25">
      <c r="A193" t="s">
        <v>192</v>
      </c>
      <c r="B193">
        <v>0.98778600000000005</v>
      </c>
      <c r="D193" t="s">
        <v>192</v>
      </c>
      <c r="E193">
        <v>0.995583</v>
      </c>
    </row>
    <row r="194" spans="1:5" x14ac:dyDescent="0.25">
      <c r="A194" t="s">
        <v>193</v>
      </c>
      <c r="B194">
        <v>206308.88282900001</v>
      </c>
      <c r="D194" t="s">
        <v>193</v>
      </c>
      <c r="E194">
        <v>109801.726344</v>
      </c>
    </row>
    <row r="195" spans="1:5" x14ac:dyDescent="0.25">
      <c r="A195" t="s">
        <v>194</v>
      </c>
      <c r="B195">
        <v>377.18358499999999</v>
      </c>
      <c r="D195" t="s">
        <v>194</v>
      </c>
      <c r="E195">
        <v>374.94713300000001</v>
      </c>
    </row>
    <row r="196" spans="1:5" x14ac:dyDescent="0.25">
      <c r="A196" t="s">
        <v>195</v>
      </c>
      <c r="B196">
        <v>807.26138700000001</v>
      </c>
      <c r="D196" t="s">
        <v>195</v>
      </c>
      <c r="E196">
        <v>806.10957699999994</v>
      </c>
    </row>
    <row r="197" spans="1:5" x14ac:dyDescent="0.25">
      <c r="A197" t="s">
        <v>196</v>
      </c>
      <c r="B197">
        <v>377.68358499999999</v>
      </c>
      <c r="D197" t="s">
        <v>196</v>
      </c>
      <c r="E197">
        <v>375.44713300000001</v>
      </c>
    </row>
    <row r="198" spans="1:5" x14ac:dyDescent="0.25">
      <c r="A198" t="s">
        <v>197</v>
      </c>
      <c r="B198">
        <v>217.23861299999999</v>
      </c>
      <c r="D198" t="s">
        <v>197</v>
      </c>
      <c r="E198">
        <v>218.390423</v>
      </c>
    </row>
    <row r="199" spans="1:5" x14ac:dyDescent="0.25">
      <c r="A199" t="s">
        <v>198</v>
      </c>
      <c r="B199">
        <v>19.896388999999999</v>
      </c>
      <c r="D199" t="s">
        <v>198</v>
      </c>
      <c r="E199">
        <v>19.896393</v>
      </c>
    </row>
    <row r="200" spans="1:5" x14ac:dyDescent="0.25">
      <c r="A200" t="s">
        <v>199</v>
      </c>
      <c r="B200">
        <v>18.776387</v>
      </c>
      <c r="D200" t="s">
        <v>199</v>
      </c>
      <c r="E200">
        <v>18.776364000000001</v>
      </c>
    </row>
    <row r="201" spans="1:5" x14ac:dyDescent="0.25">
      <c r="A201" t="s">
        <v>200</v>
      </c>
      <c r="B201">
        <v>26201.147859000001</v>
      </c>
      <c r="D201" t="s">
        <v>200</v>
      </c>
      <c r="E201">
        <v>16992.385687999998</v>
      </c>
    </row>
    <row r="202" spans="1:5" x14ac:dyDescent="0.25">
      <c r="A202" t="s">
        <v>201</v>
      </c>
      <c r="B202">
        <v>152.74798100000001</v>
      </c>
      <c r="D202" t="s">
        <v>201</v>
      </c>
      <c r="E202">
        <v>141.34248600000001</v>
      </c>
    </row>
    <row r="203" spans="1:5" x14ac:dyDescent="0.25">
      <c r="A203" t="s">
        <v>202</v>
      </c>
      <c r="B203">
        <v>171.53187700000001</v>
      </c>
      <c r="D203" t="s">
        <v>202</v>
      </c>
      <c r="E203">
        <v>120.221358</v>
      </c>
    </row>
    <row r="204" spans="1:5" x14ac:dyDescent="0.25">
      <c r="A204" t="s">
        <v>203</v>
      </c>
      <c r="B204">
        <v>1965</v>
      </c>
      <c r="D204" t="s">
        <v>203</v>
      </c>
      <c r="E204">
        <v>1472</v>
      </c>
    </row>
    <row r="205" spans="1:5" x14ac:dyDescent="0.25">
      <c r="A205" t="s">
        <v>204</v>
      </c>
      <c r="B205">
        <v>81.386664999999994</v>
      </c>
      <c r="D205" t="s">
        <v>204</v>
      </c>
      <c r="E205">
        <v>65.822624000000005</v>
      </c>
    </row>
    <row r="206" spans="1:5" x14ac:dyDescent="0.25">
      <c r="A206" t="s">
        <v>205</v>
      </c>
      <c r="B206">
        <v>473.08827200000002</v>
      </c>
      <c r="D206" t="s">
        <v>205</v>
      </c>
      <c r="E206">
        <v>569.63390700000002</v>
      </c>
    </row>
    <row r="207" spans="1:5" x14ac:dyDescent="0.25">
      <c r="A207" t="s">
        <v>206</v>
      </c>
      <c r="B207">
        <v>3.43127</v>
      </c>
      <c r="D207" t="s">
        <v>206</v>
      </c>
      <c r="E207">
        <v>3.788621</v>
      </c>
    </row>
    <row r="208" spans="1:5" x14ac:dyDescent="0.25">
      <c r="A208" t="s">
        <v>207</v>
      </c>
      <c r="B208">
        <v>7.9951299999999996</v>
      </c>
      <c r="D208" t="s">
        <v>207</v>
      </c>
      <c r="E208">
        <v>7.4251670000000001</v>
      </c>
    </row>
    <row r="209" spans="1:5" x14ac:dyDescent="0.25">
      <c r="A209" t="s">
        <v>208</v>
      </c>
      <c r="B209">
        <v>7.8285999999999998</v>
      </c>
      <c r="D209" t="s">
        <v>208</v>
      </c>
      <c r="E209">
        <v>7.4800839999999997</v>
      </c>
    </row>
    <row r="210" spans="1:5" x14ac:dyDescent="0.25">
      <c r="A210" t="s">
        <v>209</v>
      </c>
      <c r="B210">
        <v>8.1616590000000002</v>
      </c>
      <c r="D210" t="s">
        <v>209</v>
      </c>
      <c r="E210">
        <v>7.3702509999999997</v>
      </c>
    </row>
    <row r="211" spans="1:5" x14ac:dyDescent="0.25">
      <c r="A211" t="s">
        <v>210</v>
      </c>
      <c r="B211">
        <v>280.23634600000003</v>
      </c>
      <c r="D211" t="s">
        <v>210</v>
      </c>
      <c r="E211">
        <v>319.34020800000002</v>
      </c>
    </row>
    <row r="212" spans="1:5" x14ac:dyDescent="0.25">
      <c r="A212" t="s">
        <v>211</v>
      </c>
      <c r="B212">
        <v>0.99802400000000002</v>
      </c>
      <c r="D212" t="s">
        <v>211</v>
      </c>
      <c r="E212">
        <v>0.99039500000000003</v>
      </c>
    </row>
    <row r="213" spans="1:5" x14ac:dyDescent="0.25">
      <c r="A213" t="s">
        <v>212</v>
      </c>
      <c r="B213">
        <v>27554.772850000001</v>
      </c>
      <c r="D213" t="s">
        <v>212</v>
      </c>
      <c r="E213">
        <v>15547.660961</v>
      </c>
    </row>
    <row r="214" spans="1:5" x14ac:dyDescent="0.25">
      <c r="A214" t="s">
        <v>213</v>
      </c>
      <c r="B214">
        <v>280.115836</v>
      </c>
      <c r="D214" t="s">
        <v>213</v>
      </c>
      <c r="E214">
        <v>277.94787400000001</v>
      </c>
    </row>
    <row r="215" spans="1:5" x14ac:dyDescent="0.25">
      <c r="A215" t="s">
        <v>214</v>
      </c>
      <c r="B215">
        <v>594.01674800000001</v>
      </c>
      <c r="D215" t="s">
        <v>214</v>
      </c>
      <c r="E215">
        <v>592.916607</v>
      </c>
    </row>
    <row r="216" spans="1:5" x14ac:dyDescent="0.25">
      <c r="A216" t="s">
        <v>215</v>
      </c>
      <c r="B216">
        <v>280.615836</v>
      </c>
      <c r="D216" t="s">
        <v>215</v>
      </c>
      <c r="E216">
        <v>278.44787400000001</v>
      </c>
    </row>
    <row r="217" spans="1:5" x14ac:dyDescent="0.25">
      <c r="A217" t="s">
        <v>216</v>
      </c>
      <c r="B217">
        <v>430.48325199999999</v>
      </c>
      <c r="D217" t="s">
        <v>216</v>
      </c>
      <c r="E217">
        <v>431.583393</v>
      </c>
    </row>
    <row r="218" spans="1:5" x14ac:dyDescent="0.25">
      <c r="A218" t="s">
        <v>217</v>
      </c>
      <c r="B218">
        <v>19.896431</v>
      </c>
      <c r="D218" t="s">
        <v>217</v>
      </c>
      <c r="E218">
        <v>19.896436000000001</v>
      </c>
    </row>
    <row r="219" spans="1:5" x14ac:dyDescent="0.25">
      <c r="A219" t="s">
        <v>218</v>
      </c>
      <c r="B219">
        <v>18.777676</v>
      </c>
      <c r="D219" t="s">
        <v>218</v>
      </c>
      <c r="E219">
        <v>18.777652</v>
      </c>
    </row>
    <row r="220" spans="1:5" x14ac:dyDescent="0.25">
      <c r="A220" t="s">
        <v>219</v>
      </c>
      <c r="B220">
        <v>69048.415127999993</v>
      </c>
      <c r="D220" t="s">
        <v>219</v>
      </c>
      <c r="E220">
        <v>45917.904696999998</v>
      </c>
    </row>
    <row r="221" spans="1:5" x14ac:dyDescent="0.25">
      <c r="A221" t="s">
        <v>220</v>
      </c>
      <c r="B221">
        <v>169.64771999999999</v>
      </c>
      <c r="D221" t="s">
        <v>220</v>
      </c>
      <c r="E221">
        <v>157.08251300000001</v>
      </c>
    </row>
    <row r="222" spans="1:5" x14ac:dyDescent="0.25">
      <c r="A222" t="s">
        <v>221</v>
      </c>
      <c r="B222">
        <v>407.01056999999997</v>
      </c>
      <c r="D222" t="s">
        <v>221</v>
      </c>
      <c r="E222">
        <v>292.31709999999998</v>
      </c>
    </row>
    <row r="223" spans="1:5" x14ac:dyDescent="0.25">
      <c r="A223" t="s">
        <v>222</v>
      </c>
      <c r="B223">
        <v>4297</v>
      </c>
      <c r="D223" t="s">
        <v>222</v>
      </c>
      <c r="E223">
        <v>3198</v>
      </c>
    </row>
    <row r="224" spans="1:5" x14ac:dyDescent="0.25">
      <c r="A224" t="s">
        <v>223</v>
      </c>
      <c r="B224">
        <v>214.47992600000001</v>
      </c>
      <c r="D224" t="s">
        <v>223</v>
      </c>
      <c r="E224">
        <v>177.87007800000001</v>
      </c>
    </row>
    <row r="225" spans="1:5" x14ac:dyDescent="0.25">
      <c r="A225" t="s">
        <v>224</v>
      </c>
      <c r="B225">
        <v>530.09888799999999</v>
      </c>
      <c r="D225" t="s">
        <v>224</v>
      </c>
      <c r="E225">
        <v>658.23104699999999</v>
      </c>
    </row>
    <row r="226" spans="1:5" x14ac:dyDescent="0.25">
      <c r="A226" t="s">
        <v>225</v>
      </c>
      <c r="B226">
        <v>3.4340649999999999</v>
      </c>
      <c r="D226" t="s">
        <v>225</v>
      </c>
      <c r="E226">
        <v>3.7361239999999998</v>
      </c>
    </row>
    <row r="227" spans="1:5" x14ac:dyDescent="0.25">
      <c r="A227" t="s">
        <v>226</v>
      </c>
      <c r="B227">
        <v>7.7793109999999999</v>
      </c>
      <c r="D227" t="s">
        <v>226</v>
      </c>
      <c r="E227">
        <v>7.0405639999999998</v>
      </c>
    </row>
    <row r="228" spans="1:5" x14ac:dyDescent="0.25">
      <c r="A228" t="s">
        <v>227</v>
      </c>
      <c r="B228">
        <v>7.7995450000000002</v>
      </c>
      <c r="D228" t="s">
        <v>227</v>
      </c>
      <c r="E228">
        <v>7.0025659999999998</v>
      </c>
    </row>
    <row r="229" spans="1:5" x14ac:dyDescent="0.25">
      <c r="A229" t="s">
        <v>228</v>
      </c>
      <c r="B229">
        <v>7.7590769999999996</v>
      </c>
      <c r="D229" t="s">
        <v>228</v>
      </c>
      <c r="E229">
        <v>7.0785619999999998</v>
      </c>
    </row>
    <row r="230" spans="1:5" x14ac:dyDescent="0.25">
      <c r="A230" t="s">
        <v>229</v>
      </c>
      <c r="B230">
        <v>317.36404199999998</v>
      </c>
      <c r="D230" t="s">
        <v>229</v>
      </c>
      <c r="E230">
        <v>311.45752599999997</v>
      </c>
    </row>
    <row r="231" spans="1:5" x14ac:dyDescent="0.25">
      <c r="A231" t="s">
        <v>230</v>
      </c>
      <c r="B231">
        <v>0.99601700000000004</v>
      </c>
      <c r="D231" t="s">
        <v>230</v>
      </c>
      <c r="E231">
        <v>0.99234199999999995</v>
      </c>
    </row>
    <row r="232" spans="1:5" x14ac:dyDescent="0.25">
      <c r="A232" t="s">
        <v>231</v>
      </c>
      <c r="B232">
        <v>201512.772455</v>
      </c>
      <c r="D232" t="s">
        <v>231</v>
      </c>
      <c r="E232">
        <v>119897.113893</v>
      </c>
    </row>
    <row r="233" spans="1:5" x14ac:dyDescent="0.25">
      <c r="A233" t="s">
        <v>232</v>
      </c>
      <c r="B233">
        <v>164.24261100000001</v>
      </c>
      <c r="D233" t="s">
        <v>232</v>
      </c>
      <c r="E233">
        <v>162.01570799999999</v>
      </c>
    </row>
    <row r="234" spans="1:5" x14ac:dyDescent="0.25">
      <c r="A234" t="s">
        <v>233</v>
      </c>
      <c r="B234">
        <v>648.64302299999997</v>
      </c>
      <c r="D234" t="s">
        <v>233</v>
      </c>
      <c r="E234">
        <v>647.50280299999997</v>
      </c>
    </row>
    <row r="235" spans="1:5" x14ac:dyDescent="0.25">
      <c r="A235" t="s">
        <v>234</v>
      </c>
      <c r="B235">
        <v>164.74261100000001</v>
      </c>
      <c r="D235" t="s">
        <v>234</v>
      </c>
      <c r="E235">
        <v>162.51570799999999</v>
      </c>
    </row>
    <row r="236" spans="1:5" x14ac:dyDescent="0.25">
      <c r="A236" t="s">
        <v>235</v>
      </c>
      <c r="B236">
        <v>375.85697699999997</v>
      </c>
      <c r="D236" t="s">
        <v>235</v>
      </c>
      <c r="E236">
        <v>376.99719700000003</v>
      </c>
    </row>
    <row r="237" spans="1:5" x14ac:dyDescent="0.25">
      <c r="A237" t="s">
        <v>236</v>
      </c>
      <c r="B237">
        <v>19.89648</v>
      </c>
      <c r="D237" t="s">
        <v>236</v>
      </c>
      <c r="E237">
        <v>19.896484999999998</v>
      </c>
    </row>
    <row r="238" spans="1:5" x14ac:dyDescent="0.25">
      <c r="A238" t="s">
        <v>237</v>
      </c>
      <c r="B238">
        <v>18.777342000000001</v>
      </c>
      <c r="D238" t="s">
        <v>237</v>
      </c>
      <c r="E238">
        <v>18.777318000000001</v>
      </c>
    </row>
    <row r="239" spans="1:5" x14ac:dyDescent="0.25">
      <c r="A239" t="s">
        <v>238</v>
      </c>
      <c r="B239">
        <v>39274.098046999999</v>
      </c>
      <c r="D239" t="s">
        <v>238</v>
      </c>
      <c r="E239">
        <v>27017.060828999998</v>
      </c>
    </row>
    <row r="240" spans="1:5" x14ac:dyDescent="0.25">
      <c r="A240" t="s">
        <v>239</v>
      </c>
      <c r="B240">
        <v>161.53738100000001</v>
      </c>
      <c r="D240" t="s">
        <v>239</v>
      </c>
      <c r="E240">
        <v>152.45540099999999</v>
      </c>
    </row>
    <row r="241" spans="1:5" x14ac:dyDescent="0.25">
      <c r="A241" t="s">
        <v>240</v>
      </c>
      <c r="B241">
        <v>243.12699599999999</v>
      </c>
      <c r="D241" t="s">
        <v>240</v>
      </c>
      <c r="E241">
        <v>177.21288000000001</v>
      </c>
    </row>
    <row r="242" spans="1:5" x14ac:dyDescent="0.25">
      <c r="A242" t="s">
        <v>241</v>
      </c>
      <c r="B242">
        <v>2747</v>
      </c>
      <c r="D242" t="s">
        <v>241</v>
      </c>
      <c r="E242">
        <v>2172</v>
      </c>
    </row>
    <row r="243" spans="1:5" x14ac:dyDescent="0.25">
      <c r="A243" t="s">
        <v>242</v>
      </c>
      <c r="B243">
        <v>121.994193</v>
      </c>
      <c r="D243" t="s">
        <v>242</v>
      </c>
      <c r="E243">
        <v>104.654748</v>
      </c>
    </row>
    <row r="244" spans="1:5" x14ac:dyDescent="0.25">
      <c r="A244" t="s">
        <v>243</v>
      </c>
      <c r="B244">
        <v>529.07398599999999</v>
      </c>
      <c r="D244" t="s">
        <v>243</v>
      </c>
      <c r="E244">
        <v>658.48220900000001</v>
      </c>
    </row>
    <row r="245" spans="1:5" x14ac:dyDescent="0.25">
      <c r="A245" t="s">
        <v>244</v>
      </c>
      <c r="B245">
        <v>3.5127999999999999</v>
      </c>
      <c r="D245" t="s">
        <v>244</v>
      </c>
      <c r="E245">
        <v>3.5810719999999998</v>
      </c>
    </row>
    <row r="246" spans="1:5" x14ac:dyDescent="0.25">
      <c r="A246" t="s">
        <v>245</v>
      </c>
      <c r="B246">
        <v>7.9346329999999998</v>
      </c>
      <c r="D246" t="s">
        <v>245</v>
      </c>
      <c r="E246">
        <v>7.1769340000000001</v>
      </c>
    </row>
    <row r="247" spans="1:5" x14ac:dyDescent="0.25">
      <c r="A247" t="s">
        <v>246</v>
      </c>
      <c r="B247">
        <v>8.2542410000000004</v>
      </c>
      <c r="D247" t="s">
        <v>246</v>
      </c>
      <c r="E247">
        <v>7.3661560000000001</v>
      </c>
    </row>
    <row r="248" spans="1:5" x14ac:dyDescent="0.25">
      <c r="A248" t="s">
        <v>247</v>
      </c>
      <c r="B248">
        <v>7.615024</v>
      </c>
      <c r="D248" t="s">
        <v>247</v>
      </c>
      <c r="E248">
        <v>6.987711</v>
      </c>
    </row>
    <row r="249" spans="1:5" x14ac:dyDescent="0.25">
      <c r="A249" t="s">
        <v>248</v>
      </c>
      <c r="B249">
        <v>338.36506000000003</v>
      </c>
      <c r="D249" t="s">
        <v>248</v>
      </c>
      <c r="E249">
        <v>332.39320700000002</v>
      </c>
    </row>
    <row r="250" spans="1:5" x14ac:dyDescent="0.25">
      <c r="A250" t="s">
        <v>249</v>
      </c>
      <c r="B250">
        <v>0.98779899999999998</v>
      </c>
      <c r="D250" t="s">
        <v>249</v>
      </c>
      <c r="E250">
        <v>0.99146900000000004</v>
      </c>
    </row>
    <row r="251" spans="1:5" x14ac:dyDescent="0.25">
      <c r="A251" t="s">
        <v>250</v>
      </c>
      <c r="B251">
        <v>59140.257137000001</v>
      </c>
      <c r="D251" t="s">
        <v>250</v>
      </c>
      <c r="E251">
        <v>37906.56755</v>
      </c>
    </row>
    <row r="252" spans="1:5" x14ac:dyDescent="0.25">
      <c r="A252" t="s">
        <v>251</v>
      </c>
      <c r="B252">
        <v>699.68320600000004</v>
      </c>
      <c r="D252" t="s">
        <v>251</v>
      </c>
      <c r="E252">
        <v>697.56680400000005</v>
      </c>
    </row>
    <row r="253" spans="1:5" x14ac:dyDescent="0.25">
      <c r="A253" t="s">
        <v>252</v>
      </c>
      <c r="B253">
        <v>409.63833799999998</v>
      </c>
      <c r="D253" t="s">
        <v>252</v>
      </c>
      <c r="E253">
        <v>408.83687800000001</v>
      </c>
    </row>
    <row r="254" spans="1:5" x14ac:dyDescent="0.25">
      <c r="A254" t="s">
        <v>253</v>
      </c>
      <c r="B254">
        <v>700.18320600000004</v>
      </c>
      <c r="D254" t="s">
        <v>253</v>
      </c>
      <c r="E254">
        <v>698.06680400000005</v>
      </c>
    </row>
    <row r="255" spans="1:5" x14ac:dyDescent="0.25">
      <c r="A255" t="s">
        <v>254</v>
      </c>
      <c r="B255">
        <v>614.86166200000002</v>
      </c>
      <c r="D255" t="s">
        <v>254</v>
      </c>
      <c r="E255">
        <v>615.66312200000004</v>
      </c>
    </row>
    <row r="256" spans="1:5" x14ac:dyDescent="0.25">
      <c r="A256" t="s">
        <v>255</v>
      </c>
      <c r="B256">
        <v>19.896250999999999</v>
      </c>
      <c r="D256" t="s">
        <v>255</v>
      </c>
      <c r="E256">
        <v>19.896256000000001</v>
      </c>
    </row>
    <row r="257" spans="1:5" x14ac:dyDescent="0.25">
      <c r="A257" t="s">
        <v>256</v>
      </c>
      <c r="B257">
        <v>18.778803</v>
      </c>
      <c r="D257" t="s">
        <v>256</v>
      </c>
      <c r="E257">
        <v>18.778777000000002</v>
      </c>
    </row>
    <row r="258" spans="1:5" x14ac:dyDescent="0.25">
      <c r="A258" t="s">
        <v>257</v>
      </c>
      <c r="B258">
        <v>30540.497961000001</v>
      </c>
      <c r="D258" t="s">
        <v>257</v>
      </c>
      <c r="E258">
        <v>20787.953528999999</v>
      </c>
    </row>
    <row r="259" spans="1:5" x14ac:dyDescent="0.25">
      <c r="A259" t="s">
        <v>258</v>
      </c>
      <c r="B259">
        <v>161.58116699999999</v>
      </c>
      <c r="D259" t="s">
        <v>258</v>
      </c>
      <c r="E259">
        <v>150.086476</v>
      </c>
    </row>
    <row r="260" spans="1:5" x14ac:dyDescent="0.25">
      <c r="A260" t="s">
        <v>259</v>
      </c>
      <c r="B260">
        <v>189.010257</v>
      </c>
      <c r="D260" t="s">
        <v>259</v>
      </c>
      <c r="E260">
        <v>138.506507</v>
      </c>
    </row>
    <row r="261" spans="1:5" x14ac:dyDescent="0.25">
      <c r="A261" t="s">
        <v>260</v>
      </c>
      <c r="B261">
        <v>2503</v>
      </c>
      <c r="D261" t="s">
        <v>260</v>
      </c>
      <c r="E261">
        <v>1886</v>
      </c>
    </row>
    <row r="262" spans="1:5" x14ac:dyDescent="0.25">
      <c r="A262" t="s">
        <v>261</v>
      </c>
      <c r="B262">
        <v>94.865663999999995</v>
      </c>
      <c r="D262" t="s">
        <v>261</v>
      </c>
      <c r="E262">
        <v>80.525340999999997</v>
      </c>
    </row>
    <row r="263" spans="1:5" x14ac:dyDescent="0.25">
      <c r="A263" t="s">
        <v>262</v>
      </c>
      <c r="B263">
        <v>542.41212900000005</v>
      </c>
      <c r="D263" t="s">
        <v>262</v>
      </c>
      <c r="E263">
        <v>656.09773499999994</v>
      </c>
    </row>
    <row r="264" spans="1:5" x14ac:dyDescent="0.25">
      <c r="A264" t="s">
        <v>263</v>
      </c>
      <c r="B264">
        <v>3.5041370000000001</v>
      </c>
      <c r="D264" t="s">
        <v>263</v>
      </c>
      <c r="E264">
        <v>3.81636</v>
      </c>
    </row>
    <row r="265" spans="1:5" x14ac:dyDescent="0.25">
      <c r="A265" t="s">
        <v>264</v>
      </c>
      <c r="B265">
        <v>7.1807100000000004</v>
      </c>
      <c r="D265" t="s">
        <v>264</v>
      </c>
      <c r="E265">
        <v>6.7675029999999996</v>
      </c>
    </row>
    <row r="266" spans="1:5" x14ac:dyDescent="0.25">
      <c r="A266" t="s">
        <v>265</v>
      </c>
      <c r="B266">
        <v>7.2254120000000004</v>
      </c>
      <c r="D266" t="s">
        <v>265</v>
      </c>
      <c r="E266">
        <v>6.7421829999999998</v>
      </c>
    </row>
    <row r="267" spans="1:5" x14ac:dyDescent="0.25">
      <c r="A267" t="s">
        <v>266</v>
      </c>
      <c r="B267">
        <v>7.1360080000000004</v>
      </c>
      <c r="D267" t="s">
        <v>266</v>
      </c>
      <c r="E267">
        <v>6.7928240000000004</v>
      </c>
    </row>
    <row r="268" spans="1:5" x14ac:dyDescent="0.25">
      <c r="A268" t="s">
        <v>267</v>
      </c>
      <c r="B268">
        <v>31.707089</v>
      </c>
      <c r="D268" t="s">
        <v>267</v>
      </c>
      <c r="E268">
        <v>82.377278000000004</v>
      </c>
    </row>
    <row r="269" spans="1:5" x14ac:dyDescent="0.25">
      <c r="A269" t="s">
        <v>268</v>
      </c>
      <c r="B269">
        <v>0.99922599999999995</v>
      </c>
      <c r="D269" t="s">
        <v>268</v>
      </c>
      <c r="E269">
        <v>0.99994000000000005</v>
      </c>
    </row>
    <row r="270" spans="1:5" x14ac:dyDescent="0.25">
      <c r="A270" t="s">
        <v>269</v>
      </c>
      <c r="B270">
        <v>42741.299299999999</v>
      </c>
      <c r="D270" t="s">
        <v>269</v>
      </c>
      <c r="E270">
        <v>25336.791530999999</v>
      </c>
    </row>
    <row r="271" spans="1:5" x14ac:dyDescent="0.25">
      <c r="A271" t="s">
        <v>270</v>
      </c>
      <c r="B271">
        <v>214.378399</v>
      </c>
      <c r="D271" t="s">
        <v>270</v>
      </c>
      <c r="E271">
        <v>211.301163</v>
      </c>
    </row>
    <row r="272" spans="1:5" x14ac:dyDescent="0.25">
      <c r="A272" t="s">
        <v>271</v>
      </c>
      <c r="B272">
        <v>753.33788400000003</v>
      </c>
      <c r="D272" t="s">
        <v>271</v>
      </c>
      <c r="E272">
        <v>751.99703699999998</v>
      </c>
    </row>
    <row r="273" spans="1:5" x14ac:dyDescent="0.25">
      <c r="A273" t="s">
        <v>272</v>
      </c>
      <c r="B273">
        <v>214.878399</v>
      </c>
      <c r="D273" t="s">
        <v>272</v>
      </c>
      <c r="E273">
        <v>211.801163</v>
      </c>
    </row>
    <row r="274" spans="1:5" x14ac:dyDescent="0.25">
      <c r="A274" t="s">
        <v>273</v>
      </c>
      <c r="B274">
        <v>271.16211600000003</v>
      </c>
      <c r="D274" t="s">
        <v>273</v>
      </c>
      <c r="E274">
        <v>272.50296300000002</v>
      </c>
    </row>
    <row r="275" spans="1:5" x14ac:dyDescent="0.25">
      <c r="A275" t="s">
        <v>274</v>
      </c>
      <c r="B275">
        <v>19.896457999999999</v>
      </c>
      <c r="D275" t="s">
        <v>274</v>
      </c>
      <c r="E275">
        <v>19.896464000000002</v>
      </c>
    </row>
    <row r="276" spans="1:5" x14ac:dyDescent="0.25">
      <c r="A276" t="s">
        <v>275</v>
      </c>
      <c r="B276">
        <v>18.776710000000001</v>
      </c>
      <c r="D276" t="s">
        <v>275</v>
      </c>
      <c r="E276">
        <v>18.776686999999999</v>
      </c>
    </row>
    <row r="277" spans="1:5" x14ac:dyDescent="0.25">
      <c r="A277" t="s">
        <v>276</v>
      </c>
      <c r="B277">
        <v>41793.760332999998</v>
      </c>
      <c r="D277" t="s">
        <v>276</v>
      </c>
      <c r="E277">
        <v>27631.580237999999</v>
      </c>
    </row>
    <row r="278" spans="1:5" x14ac:dyDescent="0.25">
      <c r="A278" t="s">
        <v>277</v>
      </c>
      <c r="B278">
        <v>158.977431</v>
      </c>
      <c r="D278" t="s">
        <v>277</v>
      </c>
      <c r="E278">
        <v>148.77070800000001</v>
      </c>
    </row>
    <row r="279" spans="1:5" x14ac:dyDescent="0.25">
      <c r="A279" t="s">
        <v>278</v>
      </c>
      <c r="B279">
        <v>262.89115399999997</v>
      </c>
      <c r="D279" t="s">
        <v>278</v>
      </c>
      <c r="E279">
        <v>185.73266699999999</v>
      </c>
    </row>
    <row r="280" spans="1:5" x14ac:dyDescent="0.25">
      <c r="A280" t="s">
        <v>279</v>
      </c>
      <c r="B280">
        <v>2882</v>
      </c>
      <c r="D280" t="s">
        <v>279</v>
      </c>
      <c r="E280">
        <v>2141</v>
      </c>
    </row>
    <row r="281" spans="1:5" x14ac:dyDescent="0.25">
      <c r="A281" t="s">
        <v>280</v>
      </c>
      <c r="B281">
        <v>129.820831</v>
      </c>
      <c r="D281" t="s">
        <v>280</v>
      </c>
      <c r="E281">
        <v>107.035183</v>
      </c>
    </row>
    <row r="282" spans="1:5" x14ac:dyDescent="0.25">
      <c r="A282" t="s">
        <v>281</v>
      </c>
      <c r="B282">
        <v>501.56888400000003</v>
      </c>
      <c r="D282" t="s">
        <v>281</v>
      </c>
      <c r="E282">
        <v>609.507024</v>
      </c>
    </row>
    <row r="283" spans="1:5" x14ac:dyDescent="0.25">
      <c r="A283" t="s">
        <v>282</v>
      </c>
      <c r="B283">
        <v>3.8373349999999999</v>
      </c>
      <c r="D283" t="s">
        <v>282</v>
      </c>
      <c r="E283">
        <v>5.0928370000000003</v>
      </c>
    </row>
    <row r="284" spans="1:5" x14ac:dyDescent="0.25">
      <c r="A284" t="s">
        <v>283</v>
      </c>
      <c r="B284">
        <v>7.8611069999999996</v>
      </c>
      <c r="D284" t="s">
        <v>283</v>
      </c>
      <c r="E284">
        <v>13.095411</v>
      </c>
    </row>
    <row r="285" spans="1:5" x14ac:dyDescent="0.25">
      <c r="A285" t="s">
        <v>284</v>
      </c>
      <c r="B285">
        <v>8.0176230000000004</v>
      </c>
      <c r="D285" t="s">
        <v>284</v>
      </c>
      <c r="E285">
        <v>7.7298299999999998</v>
      </c>
    </row>
    <row r="286" spans="1:5" x14ac:dyDescent="0.25">
      <c r="A286" t="s">
        <v>285</v>
      </c>
      <c r="B286">
        <v>7.7045899999999996</v>
      </c>
      <c r="D286" t="s">
        <v>285</v>
      </c>
      <c r="E286">
        <v>18.460992000000001</v>
      </c>
    </row>
    <row r="287" spans="1:5" x14ac:dyDescent="0.25">
      <c r="A287" t="s">
        <v>286</v>
      </c>
      <c r="B287">
        <v>326.18956800000001</v>
      </c>
      <c r="D287" t="s">
        <v>286</v>
      </c>
      <c r="E287">
        <v>73.364450000000005</v>
      </c>
    </row>
    <row r="288" spans="1:5" x14ac:dyDescent="0.25">
      <c r="A288" t="s">
        <v>287</v>
      </c>
      <c r="B288">
        <v>0.98907</v>
      </c>
      <c r="D288" t="s">
        <v>287</v>
      </c>
      <c r="E288">
        <v>0.29569600000000001</v>
      </c>
    </row>
    <row r="289" spans="1:5" x14ac:dyDescent="0.25">
      <c r="A289" t="s">
        <v>288</v>
      </c>
      <c r="B289">
        <v>5.9854690000000002</v>
      </c>
      <c r="D289" t="s">
        <v>288</v>
      </c>
      <c r="E289">
        <v>7.327877</v>
      </c>
    </row>
    <row r="290" spans="1:5" x14ac:dyDescent="0.25">
      <c r="D290" t="s">
        <v>314</v>
      </c>
      <c r="E290">
        <v>1479.2081909999999</v>
      </c>
    </row>
    <row r="291" spans="1:5" x14ac:dyDescent="0.25">
      <c r="D291" t="s">
        <v>315</v>
      </c>
      <c r="E291">
        <v>314.53924899999998</v>
      </c>
    </row>
    <row r="292" spans="1:5" x14ac:dyDescent="0.25">
      <c r="D292" t="s">
        <v>316</v>
      </c>
      <c r="E292">
        <v>1479.7081909999999</v>
      </c>
    </row>
    <row r="293" spans="1:5" x14ac:dyDescent="0.25">
      <c r="D293" t="s">
        <v>317</v>
      </c>
      <c r="E293">
        <v>709.96075099999996</v>
      </c>
    </row>
    <row r="294" spans="1:5" x14ac:dyDescent="0.25">
      <c r="D294" t="s">
        <v>318</v>
      </c>
      <c r="E294">
        <v>19.895921000000001</v>
      </c>
    </row>
    <row r="295" spans="1:5" x14ac:dyDescent="0.25">
      <c r="D295" t="s">
        <v>319</v>
      </c>
      <c r="E295">
        <v>18.779368000000002</v>
      </c>
    </row>
    <row r="296" spans="1:5" x14ac:dyDescent="0.25">
      <c r="D296" t="s">
        <v>320</v>
      </c>
      <c r="E296" s="17">
        <v>2.4950000000000002E-12</v>
      </c>
    </row>
    <row r="297" spans="1:5" x14ac:dyDescent="0.25">
      <c r="D297" t="s">
        <v>321</v>
      </c>
      <c r="E297" s="17">
        <v>4.8400000000000005E-7</v>
      </c>
    </row>
    <row r="298" spans="1:5" x14ac:dyDescent="0.25">
      <c r="D298" t="s">
        <v>322</v>
      </c>
      <c r="E298">
        <v>5.0000000000000004E-6</v>
      </c>
    </row>
    <row r="299" spans="1:5" x14ac:dyDescent="0.25">
      <c r="D299" t="s">
        <v>323</v>
      </c>
      <c r="E299">
        <v>0</v>
      </c>
    </row>
    <row r="300" spans="1:5" x14ac:dyDescent="0.25">
      <c r="D300" t="s">
        <v>324</v>
      </c>
      <c r="E300">
        <v>0</v>
      </c>
    </row>
    <row r="301" spans="1:5" x14ac:dyDescent="0.25">
      <c r="D301" t="s">
        <v>325</v>
      </c>
      <c r="E301">
        <v>665.92034999999998</v>
      </c>
    </row>
    <row r="302" spans="1:5" x14ac:dyDescent="0.25">
      <c r="D302" t="s">
        <v>326</v>
      </c>
      <c r="E302" t="s">
        <v>289</v>
      </c>
    </row>
    <row r="303" spans="1:5" x14ac:dyDescent="0.25">
      <c r="D303" t="s">
        <v>327</v>
      </c>
      <c r="E303" t="s">
        <v>289</v>
      </c>
    </row>
    <row r="304" spans="1:5" x14ac:dyDescent="0.25">
      <c r="D304" t="s">
        <v>328</v>
      </c>
      <c r="E304" t="s">
        <v>289</v>
      </c>
    </row>
    <row r="305" spans="4:5" x14ac:dyDescent="0.25">
      <c r="D305" t="s">
        <v>329</v>
      </c>
      <c r="E305" t="s">
        <v>289</v>
      </c>
    </row>
    <row r="306" spans="4:5" x14ac:dyDescent="0.25">
      <c r="D306" t="s">
        <v>330</v>
      </c>
      <c r="E306" t="s">
        <v>289</v>
      </c>
    </row>
    <row r="307" spans="4:5" x14ac:dyDescent="0.25">
      <c r="D307" t="s">
        <v>331</v>
      </c>
      <c r="E307" t="s">
        <v>289</v>
      </c>
    </row>
    <row r="308" spans="4:5" x14ac:dyDescent="0.25">
      <c r="D308" t="s">
        <v>332</v>
      </c>
      <c r="E308" t="s">
        <v>289</v>
      </c>
    </row>
    <row r="309" spans="4:5" x14ac:dyDescent="0.25">
      <c r="D309" t="s">
        <v>333</v>
      </c>
      <c r="E309">
        <v>0</v>
      </c>
    </row>
    <row r="310" spans="4:5" x14ac:dyDescent="0.25">
      <c r="D310" t="s">
        <v>334</v>
      </c>
      <c r="E310">
        <v>0</v>
      </c>
    </row>
    <row r="311" spans="4:5" x14ac:dyDescent="0.25">
      <c r="D311" t="s">
        <v>335</v>
      </c>
      <c r="E311">
        <v>0</v>
      </c>
    </row>
  </sheetData>
  <phoneticPr fontId="19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75"/>
  <sheetViews>
    <sheetView topLeftCell="U1" workbookViewId="0">
      <selection activeCell="O16" sqref="O16"/>
    </sheetView>
  </sheetViews>
  <sheetFormatPr defaultRowHeight="15" x14ac:dyDescent="0.25"/>
  <cols>
    <col min="1" max="1" width="18.7109375" customWidth="1"/>
    <col min="2" max="2" width="25.7109375" style="12" customWidth="1"/>
    <col min="3" max="3" width="12.140625" customWidth="1"/>
    <col min="4" max="4" width="16.28515625" customWidth="1"/>
    <col min="5" max="5" width="30.42578125" customWidth="1"/>
    <col min="8" max="8" width="19.85546875" customWidth="1"/>
    <col min="11" max="11" width="21.7109375" customWidth="1"/>
    <col min="12" max="12" width="15.85546875" customWidth="1"/>
    <col min="14" max="14" width="17.5703125" customWidth="1"/>
    <col min="15" max="15" width="13.28515625" bestFit="1" customWidth="1"/>
  </cols>
  <sheetData>
    <row r="1" spans="1:16" x14ac:dyDescent="0.25">
      <c r="A1" t="s">
        <v>308</v>
      </c>
      <c r="B1" s="12">
        <f>B26</f>
        <v>26201.147859000001</v>
      </c>
      <c r="D1" t="s">
        <v>311</v>
      </c>
    </row>
    <row r="2" spans="1:16" x14ac:dyDescent="0.25">
      <c r="A2" t="s">
        <v>306</v>
      </c>
      <c r="B2" s="16">
        <v>12.3</v>
      </c>
      <c r="D2">
        <v>12.3</v>
      </c>
    </row>
    <row r="3" spans="1:16" x14ac:dyDescent="0.25">
      <c r="A3" t="s">
        <v>299</v>
      </c>
      <c r="B3" s="12">
        <f>808+317</f>
        <v>1125</v>
      </c>
      <c r="E3" t="s">
        <v>337</v>
      </c>
      <c r="F3">
        <f>(Gain*Fstar)+npix*(1+(npix/nb))*(Gain*Fs+Fd+Fr^2+Gain^2*Sigmaf^2)</f>
        <v>18865840.448485963</v>
      </c>
    </row>
    <row r="4" spans="1:16" x14ac:dyDescent="0.25">
      <c r="A4" t="s">
        <v>300</v>
      </c>
      <c r="B4" s="12">
        <f>B33</f>
        <v>842</v>
      </c>
    </row>
    <row r="5" spans="1:16" x14ac:dyDescent="0.25">
      <c r="A5" t="s">
        <v>301</v>
      </c>
      <c r="B5" s="12">
        <f>Signal</f>
        <v>26201.147859000001</v>
      </c>
      <c r="E5" t="s">
        <v>307</v>
      </c>
      <c r="F5">
        <f>SQRT(F3)/Gain</f>
        <v>353.12866060191431</v>
      </c>
    </row>
    <row r="6" spans="1:16" x14ac:dyDescent="0.25">
      <c r="A6" t="s">
        <v>302</v>
      </c>
      <c r="B6" s="12">
        <v>473</v>
      </c>
    </row>
    <row r="7" spans="1:16" x14ac:dyDescent="0.25">
      <c r="A7" t="s">
        <v>303</v>
      </c>
      <c r="B7" s="16">
        <v>0.3</v>
      </c>
      <c r="E7" t="s">
        <v>308</v>
      </c>
      <c r="F7">
        <f>Signal</f>
        <v>26201.147859000001</v>
      </c>
    </row>
    <row r="8" spans="1:16" x14ac:dyDescent="0.25">
      <c r="A8" t="s">
        <v>304</v>
      </c>
      <c r="B8" s="12">
        <v>35</v>
      </c>
    </row>
    <row r="9" spans="1:16" x14ac:dyDescent="0.25">
      <c r="A9" t="s">
        <v>305</v>
      </c>
      <c r="B9" s="12">
        <v>0.28899999999999998</v>
      </c>
      <c r="E9" t="s">
        <v>309</v>
      </c>
      <c r="F9">
        <f>F7/F5</f>
        <v>74.197171689037248</v>
      </c>
      <c r="H9" t="s">
        <v>310</v>
      </c>
      <c r="I9">
        <f>B29</f>
        <v>171.53187700000001</v>
      </c>
    </row>
    <row r="11" spans="1:16" x14ac:dyDescent="0.25">
      <c r="A11" t="s">
        <v>336</v>
      </c>
      <c r="B11" s="17">
        <v>26070</v>
      </c>
    </row>
    <row r="13" spans="1:16" x14ac:dyDescent="0.25">
      <c r="O13" t="s">
        <v>343</v>
      </c>
    </row>
    <row r="14" spans="1:16" x14ac:dyDescent="0.25">
      <c r="A14" t="s">
        <v>312</v>
      </c>
      <c r="K14" t="s">
        <v>308</v>
      </c>
      <c r="O14" s="12">
        <f>Signal*Gain</f>
        <v>322274.11866570002</v>
      </c>
    </row>
    <row r="16" spans="1:16" x14ac:dyDescent="0.25">
      <c r="A16" t="s">
        <v>350</v>
      </c>
      <c r="B16" s="12">
        <f ca="1">'H Measurements'!S14</f>
        <v>321.93416278944471</v>
      </c>
      <c r="C16" s="19">
        <f ca="1">SQRT(B16/PI())</f>
        <v>10.1229850694438</v>
      </c>
      <c r="K16" t="s">
        <v>345</v>
      </c>
      <c r="L16" t="s">
        <v>338</v>
      </c>
      <c r="M16">
        <v>35</v>
      </c>
      <c r="N16" t="s">
        <v>339</v>
      </c>
      <c r="O16" s="12">
        <f ca="1">M23*M16^2</f>
        <v>394369.34941706975</v>
      </c>
      <c r="P16" s="12" t="s">
        <v>344</v>
      </c>
    </row>
    <row r="17" spans="1:16" x14ac:dyDescent="0.25">
      <c r="A17" t="s">
        <v>351</v>
      </c>
      <c r="B17" s="12">
        <f ca="1">'H Measurements'!S20</f>
        <v>842</v>
      </c>
      <c r="C17" s="19">
        <f ca="1">SQRT(B17/PI())</f>
        <v>16.371222439596615</v>
      </c>
      <c r="L17" t="s">
        <v>340</v>
      </c>
      <c r="M17">
        <f>0.3*100</f>
        <v>30</v>
      </c>
      <c r="N17" t="s">
        <v>339</v>
      </c>
      <c r="O17" s="12">
        <f ca="1">M23*M17</f>
        <v>9658.0248836833416</v>
      </c>
      <c r="P17" s="12"/>
    </row>
    <row r="18" spans="1:16" x14ac:dyDescent="0.25">
      <c r="L18" t="s">
        <v>349</v>
      </c>
      <c r="O18" s="12">
        <f>O14</f>
        <v>322274.11866570002</v>
      </c>
      <c r="P18" s="12"/>
    </row>
    <row r="19" spans="1:16" x14ac:dyDescent="0.25">
      <c r="A19" t="s">
        <v>313</v>
      </c>
      <c r="L19" t="s">
        <v>348</v>
      </c>
      <c r="O19" s="12">
        <f ca="1">B32*Gain*M23</f>
        <v>1873330.304293449</v>
      </c>
      <c r="P19" s="12"/>
    </row>
    <row r="20" spans="1:16" x14ac:dyDescent="0.25">
      <c r="B20"/>
      <c r="O20" s="12"/>
      <c r="P20" s="12"/>
    </row>
    <row r="21" spans="1:16" x14ac:dyDescent="0.25">
      <c r="B21"/>
      <c r="L21" t="s">
        <v>347</v>
      </c>
      <c r="O21" s="12">
        <f ca="1">SQRT(SUM(O16:O19))</f>
        <v>1612.3373707943081</v>
      </c>
      <c r="P21" s="12"/>
    </row>
    <row r="22" spans="1:16" x14ac:dyDescent="0.25">
      <c r="B22"/>
      <c r="O22" s="12"/>
      <c r="P22" s="12"/>
    </row>
    <row r="23" spans="1:16" x14ac:dyDescent="0.25">
      <c r="B23"/>
      <c r="L23" t="s">
        <v>341</v>
      </c>
      <c r="M23" s="18">
        <f ca="1">B16</f>
        <v>321.93416278944471</v>
      </c>
      <c r="N23" t="s">
        <v>342</v>
      </c>
      <c r="O23" s="12"/>
      <c r="P23" s="12"/>
    </row>
    <row r="24" spans="1:16" x14ac:dyDescent="0.25">
      <c r="B24"/>
      <c r="O24" s="12"/>
      <c r="P24" s="12"/>
    </row>
    <row r="25" spans="1:16" x14ac:dyDescent="0.25">
      <c r="B25"/>
      <c r="L25" t="s">
        <v>346</v>
      </c>
      <c r="O25" s="12">
        <f ca="1">O14/O21</f>
        <v>199.88007752182389</v>
      </c>
      <c r="P25" s="12"/>
    </row>
    <row r="26" spans="1:16" x14ac:dyDescent="0.25">
      <c r="A26" t="s">
        <v>65</v>
      </c>
      <c r="B26">
        <v>26201.147859000001</v>
      </c>
      <c r="D26" s="12">
        <f>B26+B32*nb</f>
        <v>424541.47288300004</v>
      </c>
      <c r="O26" s="12"/>
      <c r="P26" s="12"/>
    </row>
    <row r="27" spans="1:16" x14ac:dyDescent="0.25">
      <c r="A27" t="s">
        <v>66</v>
      </c>
      <c r="B27">
        <v>321.93416278944471</v>
      </c>
      <c r="O27" s="12"/>
      <c r="P27" s="12"/>
    </row>
    <row r="28" spans="1:16" x14ac:dyDescent="0.25">
      <c r="A28" t="s">
        <v>67</v>
      </c>
      <c r="B28">
        <v>152.74798100000001</v>
      </c>
      <c r="O28" s="12"/>
      <c r="P28" s="12"/>
    </row>
    <row r="29" spans="1:16" x14ac:dyDescent="0.25">
      <c r="A29" t="s">
        <v>68</v>
      </c>
      <c r="B29">
        <v>171.53187700000001</v>
      </c>
      <c r="O29" s="12"/>
      <c r="P29" s="12"/>
    </row>
    <row r="30" spans="1:16" x14ac:dyDescent="0.25">
      <c r="A30" t="s">
        <v>69</v>
      </c>
      <c r="B30">
        <v>1965</v>
      </c>
      <c r="O30" s="12"/>
      <c r="P30" s="12"/>
    </row>
    <row r="31" spans="1:16" x14ac:dyDescent="0.25">
      <c r="A31" t="s">
        <v>70</v>
      </c>
      <c r="B31">
        <v>81.386664999999994</v>
      </c>
      <c r="O31" s="12"/>
      <c r="P31" s="12"/>
    </row>
    <row r="32" spans="1:16" x14ac:dyDescent="0.25">
      <c r="A32" t="s">
        <v>71</v>
      </c>
      <c r="B32">
        <v>473.08827200000002</v>
      </c>
      <c r="O32" s="12"/>
      <c r="P32" s="12"/>
    </row>
    <row r="33" spans="1:16" x14ac:dyDescent="0.25">
      <c r="A33" t="s">
        <v>72</v>
      </c>
      <c r="B33">
        <v>842</v>
      </c>
      <c r="O33" s="12"/>
      <c r="P33" s="12"/>
    </row>
    <row r="34" spans="1:16" x14ac:dyDescent="0.25">
      <c r="A34" t="s">
        <v>73</v>
      </c>
      <c r="B34">
        <v>3.43127</v>
      </c>
    </row>
    <row r="35" spans="1:16" x14ac:dyDescent="0.25">
      <c r="B35"/>
    </row>
    <row r="36" spans="1:16" x14ac:dyDescent="0.25">
      <c r="B36"/>
    </row>
    <row r="37" spans="1:16" x14ac:dyDescent="0.25">
      <c r="B37"/>
    </row>
    <row r="38" spans="1:16" x14ac:dyDescent="0.25">
      <c r="B38"/>
    </row>
    <row r="60" spans="1:2" x14ac:dyDescent="0.25">
      <c r="A60" s="1"/>
      <c r="B60" s="13"/>
    </row>
    <row r="61" spans="1:2" x14ac:dyDescent="0.25">
      <c r="A61" s="1"/>
      <c r="B61" s="13"/>
    </row>
    <row r="62" spans="1:2" x14ac:dyDescent="0.25">
      <c r="A62" s="1"/>
      <c r="B62" s="13"/>
    </row>
    <row r="63" spans="1:2" x14ac:dyDescent="0.25">
      <c r="A63" s="1"/>
      <c r="B63" s="13"/>
    </row>
    <row r="64" spans="1:2" x14ac:dyDescent="0.25">
      <c r="A64" s="1"/>
      <c r="B64" s="13"/>
    </row>
    <row r="65" spans="1:2" x14ac:dyDescent="0.25">
      <c r="A65" s="1"/>
      <c r="B65" s="13"/>
    </row>
    <row r="66" spans="1:2" x14ac:dyDescent="0.25">
      <c r="A66" s="1"/>
      <c r="B66" s="13"/>
    </row>
    <row r="67" spans="1:2" x14ac:dyDescent="0.25">
      <c r="A67" s="1"/>
      <c r="B67" s="13"/>
    </row>
    <row r="68" spans="1:2" x14ac:dyDescent="0.25">
      <c r="A68" s="1"/>
      <c r="B68" s="13"/>
    </row>
    <row r="69" spans="1:2" x14ac:dyDescent="0.25">
      <c r="A69" s="1"/>
      <c r="B69" s="13"/>
    </row>
    <row r="70" spans="1:2" x14ac:dyDescent="0.25">
      <c r="A70" s="1"/>
      <c r="B70" s="13"/>
    </row>
    <row r="71" spans="1:2" x14ac:dyDescent="0.25">
      <c r="A71" s="1"/>
      <c r="B71" s="13"/>
    </row>
    <row r="72" spans="1:2" x14ac:dyDescent="0.25">
      <c r="A72" s="1"/>
      <c r="B72" s="13"/>
    </row>
    <row r="73" spans="1:2" x14ac:dyDescent="0.25">
      <c r="A73" s="1"/>
      <c r="B73" s="13"/>
    </row>
    <row r="74" spans="1:2" x14ac:dyDescent="0.25">
      <c r="A74" s="1"/>
      <c r="B74" s="13"/>
    </row>
    <row r="75" spans="1:2" x14ac:dyDescent="0.25">
      <c r="A75" s="1"/>
      <c r="B75" s="13"/>
    </row>
    <row r="76" spans="1:2" x14ac:dyDescent="0.25">
      <c r="A76" s="1"/>
      <c r="B76" s="13"/>
    </row>
    <row r="77" spans="1:2" x14ac:dyDescent="0.25">
      <c r="A77" s="1"/>
      <c r="B77" s="13"/>
    </row>
    <row r="78" spans="1:2" x14ac:dyDescent="0.25">
      <c r="A78" s="1"/>
      <c r="B78" s="13"/>
    </row>
    <row r="79" spans="1:2" x14ac:dyDescent="0.25">
      <c r="A79" s="1"/>
      <c r="B79" s="13"/>
    </row>
    <row r="80" spans="1:2" x14ac:dyDescent="0.25">
      <c r="A80" s="1"/>
      <c r="B80" s="13"/>
    </row>
    <row r="81" spans="1:2" x14ac:dyDescent="0.25">
      <c r="A81" s="3"/>
      <c r="B81" s="14"/>
    </row>
    <row r="82" spans="1:2" x14ac:dyDescent="0.25">
      <c r="A82" s="3"/>
      <c r="B82" s="14"/>
    </row>
    <row r="83" spans="1:2" x14ac:dyDescent="0.25">
      <c r="A83" s="3"/>
      <c r="B83" s="14"/>
    </row>
    <row r="84" spans="1:2" x14ac:dyDescent="0.25">
      <c r="A84" s="3"/>
      <c r="B84" s="14"/>
    </row>
    <row r="85" spans="1:2" x14ac:dyDescent="0.25">
      <c r="A85" s="3"/>
      <c r="B85" s="14"/>
    </row>
    <row r="86" spans="1:2" x14ac:dyDescent="0.25">
      <c r="A86" s="3"/>
      <c r="B86" s="14"/>
    </row>
    <row r="87" spans="1:2" x14ac:dyDescent="0.25">
      <c r="A87" s="3"/>
      <c r="B87" s="14"/>
    </row>
    <row r="88" spans="1:2" x14ac:dyDescent="0.25">
      <c r="A88" s="3"/>
      <c r="B88" s="14"/>
    </row>
    <row r="89" spans="1:2" x14ac:dyDescent="0.25">
      <c r="A89" s="3"/>
      <c r="B89" s="14"/>
    </row>
    <row r="90" spans="1:2" x14ac:dyDescent="0.25">
      <c r="A90" s="3"/>
      <c r="B90" s="14"/>
    </row>
    <row r="91" spans="1:2" x14ac:dyDescent="0.25">
      <c r="A91" s="3"/>
      <c r="B91" s="14"/>
    </row>
    <row r="92" spans="1:2" x14ac:dyDescent="0.25">
      <c r="A92" s="3"/>
      <c r="B92" s="14"/>
    </row>
    <row r="93" spans="1:2" x14ac:dyDescent="0.25">
      <c r="A93" s="3"/>
      <c r="B93" s="14"/>
    </row>
    <row r="94" spans="1:2" x14ac:dyDescent="0.25">
      <c r="A94" s="3"/>
      <c r="B94" s="14"/>
    </row>
    <row r="95" spans="1:2" x14ac:dyDescent="0.25">
      <c r="A95" s="3"/>
      <c r="B95" s="14"/>
    </row>
    <row r="96" spans="1:2" x14ac:dyDescent="0.25">
      <c r="A96" s="3"/>
      <c r="B96" s="14"/>
    </row>
    <row r="97" spans="1:2" x14ac:dyDescent="0.25">
      <c r="A97" s="3"/>
      <c r="B97" s="14"/>
    </row>
    <row r="98" spans="1:2" x14ac:dyDescent="0.25">
      <c r="A98" s="3"/>
      <c r="B98" s="14"/>
    </row>
    <row r="99" spans="1:2" x14ac:dyDescent="0.25">
      <c r="A99" s="3"/>
      <c r="B99" s="14"/>
    </row>
    <row r="157" spans="1:2" x14ac:dyDescent="0.25">
      <c r="A157" s="5"/>
      <c r="B157" s="15"/>
    </row>
    <row r="158" spans="1:2" x14ac:dyDescent="0.25">
      <c r="A158" s="5"/>
      <c r="B158" s="15"/>
    </row>
    <row r="159" spans="1:2" x14ac:dyDescent="0.25">
      <c r="A159" s="5"/>
      <c r="B159" s="15"/>
    </row>
    <row r="160" spans="1:2" x14ac:dyDescent="0.25">
      <c r="A160" s="5"/>
      <c r="B160" s="15"/>
    </row>
    <row r="161" spans="1:2" x14ac:dyDescent="0.25">
      <c r="A161" s="5"/>
      <c r="B161" s="15"/>
    </row>
    <row r="162" spans="1:2" x14ac:dyDescent="0.25">
      <c r="A162" s="5"/>
      <c r="B162" s="15"/>
    </row>
    <row r="163" spans="1:2" x14ac:dyDescent="0.25">
      <c r="A163" s="5"/>
      <c r="B163" s="15"/>
    </row>
    <row r="164" spans="1:2" x14ac:dyDescent="0.25">
      <c r="A164" s="5"/>
      <c r="B164" s="15"/>
    </row>
    <row r="165" spans="1:2" x14ac:dyDescent="0.25">
      <c r="A165" s="5"/>
      <c r="B165" s="15"/>
    </row>
    <row r="166" spans="1:2" x14ac:dyDescent="0.25">
      <c r="A166" s="5"/>
      <c r="B166" s="15"/>
    </row>
    <row r="167" spans="1:2" x14ac:dyDescent="0.25">
      <c r="A167" s="5"/>
      <c r="B167" s="15"/>
    </row>
    <row r="168" spans="1:2" x14ac:dyDescent="0.25">
      <c r="A168" s="5"/>
      <c r="B168" s="15"/>
    </row>
    <row r="169" spans="1:2" x14ac:dyDescent="0.25">
      <c r="A169" s="5"/>
      <c r="B169" s="15"/>
    </row>
    <row r="170" spans="1:2" x14ac:dyDescent="0.25">
      <c r="A170" s="5"/>
      <c r="B170" s="15"/>
    </row>
    <row r="171" spans="1:2" x14ac:dyDescent="0.25">
      <c r="A171" s="5"/>
      <c r="B171" s="15"/>
    </row>
    <row r="172" spans="1:2" x14ac:dyDescent="0.25">
      <c r="A172" s="5"/>
      <c r="B172" s="15"/>
    </row>
    <row r="173" spans="1:2" x14ac:dyDescent="0.25">
      <c r="A173" s="5"/>
      <c r="B173" s="15"/>
    </row>
    <row r="174" spans="1:2" x14ac:dyDescent="0.25">
      <c r="A174" s="5"/>
      <c r="B174" s="15"/>
    </row>
    <row r="175" spans="1:2" x14ac:dyDescent="0.25">
      <c r="A175" s="5"/>
      <c r="B175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PythonGraph</vt:lpstr>
      <vt:lpstr>H Measurements</vt:lpstr>
      <vt:lpstr>SN</vt:lpstr>
      <vt:lpstr>Fd</vt:lpstr>
      <vt:lpstr>Fr</vt:lpstr>
      <vt:lpstr>Fs</vt:lpstr>
      <vt:lpstr>Fstar</vt:lpstr>
      <vt:lpstr>Gain</vt:lpstr>
      <vt:lpstr>nb</vt:lpstr>
      <vt:lpstr>npix</vt:lpstr>
      <vt:lpstr>Sigmaf</vt:lpstr>
      <vt:lpstr>Signal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Gordon Bowser</cp:lastModifiedBy>
  <dcterms:created xsi:type="dcterms:W3CDTF">2021-03-02T10:03:27Z</dcterms:created>
  <dcterms:modified xsi:type="dcterms:W3CDTF">2021-03-04T17:35:44Z</dcterms:modified>
</cp:coreProperties>
</file>